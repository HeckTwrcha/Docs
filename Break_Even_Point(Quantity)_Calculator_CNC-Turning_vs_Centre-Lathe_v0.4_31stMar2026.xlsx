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08" yWindow="-108" windowWidth="19416" windowHeight="10296"/>
  </bookViews>
  <sheets>
    <sheet name="Break_Even_Point_Calc." sheetId="1" r:id="rId1"/>
    <sheet name="BP_Graph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1" i="1"/>
  <c r="D19" i="1"/>
  <c r="F19" i="1"/>
  <c r="G18" i="1"/>
  <c r="D18" i="1"/>
  <c r="F18" i="1"/>
  <c r="F6" i="2" l="1"/>
  <c r="G6" i="2" s="1"/>
  <c r="F7" i="2" l="1"/>
  <c r="H6" i="2"/>
  <c r="I6" i="2" s="1"/>
  <c r="F17" i="1"/>
  <c r="F10" i="1"/>
  <c r="D17" i="1"/>
  <c r="B14" i="1"/>
  <c r="B15" i="1" s="1"/>
  <c r="D10" i="1"/>
  <c r="B6" i="1"/>
  <c r="B7" i="1" s="1"/>
  <c r="B8" i="1" s="1"/>
  <c r="F8" i="2" l="1"/>
  <c r="H8" i="2" s="1"/>
  <c r="H7" i="2"/>
  <c r="G7" i="2"/>
  <c r="G10" i="1"/>
  <c r="G17" i="1"/>
  <c r="I7" i="2" l="1"/>
  <c r="F9" i="2"/>
  <c r="G8" i="2"/>
  <c r="I8" i="2" s="1"/>
  <c r="G19" i="1"/>
  <c r="F10" i="2" l="1"/>
  <c r="G9" i="2"/>
  <c r="H9" i="2"/>
  <c r="I9" i="2" l="1"/>
  <c r="F11" i="2"/>
  <c r="G10" i="2"/>
  <c r="H10" i="2"/>
  <c r="I10" i="2" l="1"/>
  <c r="F12" i="2"/>
  <c r="G12" i="2" s="1"/>
  <c r="H11" i="2"/>
  <c r="G11" i="2"/>
  <c r="I11" i="2" l="1"/>
  <c r="F13" i="2"/>
  <c r="H13" i="2" s="1"/>
  <c r="H12" i="2"/>
  <c r="I12" i="2" s="1"/>
  <c r="G13" i="2" l="1"/>
  <c r="I13" i="2" s="1"/>
  <c r="F14" i="2"/>
  <c r="F15" i="2" l="1"/>
  <c r="H15" i="2" s="1"/>
  <c r="G14" i="2"/>
  <c r="H14" i="2"/>
  <c r="G15" i="2" l="1"/>
  <c r="I15" i="2" s="1"/>
  <c r="I14" i="2"/>
  <c r="F16" i="2"/>
  <c r="F17" i="2" l="1"/>
  <c r="G16" i="2"/>
  <c r="H16" i="2"/>
  <c r="I16" i="2" l="1"/>
  <c r="F18" i="2"/>
  <c r="G17" i="2"/>
  <c r="H17" i="2"/>
  <c r="I17" i="2" l="1"/>
  <c r="F19" i="2"/>
  <c r="G19" i="2" s="1"/>
  <c r="H19" i="2"/>
  <c r="G18" i="2"/>
  <c r="H18" i="2"/>
  <c r="I18" i="2" l="1"/>
  <c r="I19" i="2"/>
  <c r="F20" i="2"/>
  <c r="G20" i="2" s="1"/>
  <c r="F21" i="2" l="1"/>
  <c r="G21" i="2" s="1"/>
  <c r="H20" i="2"/>
  <c r="I20" i="2" s="1"/>
  <c r="H21" i="2" l="1"/>
  <c r="I21" i="2" s="1"/>
  <c r="F22" i="2"/>
  <c r="H22" i="2"/>
  <c r="F23" i="2" l="1"/>
  <c r="G22" i="2"/>
  <c r="I22" i="2" s="1"/>
  <c r="F24" i="2" l="1"/>
  <c r="H23" i="2"/>
  <c r="G23" i="2"/>
  <c r="I23" i="2" l="1"/>
  <c r="F25" i="2"/>
  <c r="G24" i="2"/>
  <c r="H24" i="2"/>
  <c r="I24" i="2" l="1"/>
  <c r="F26" i="2"/>
  <c r="G25" i="2"/>
  <c r="H25" i="2"/>
  <c r="I25" i="2" l="1"/>
  <c r="F27" i="2"/>
  <c r="H27" i="2" s="1"/>
  <c r="G26" i="2"/>
  <c r="H26" i="2"/>
  <c r="G27" i="2" l="1"/>
  <c r="I27" i="2" s="1"/>
  <c r="I26" i="2"/>
  <c r="F28" i="2"/>
  <c r="F29" i="2" l="1"/>
  <c r="G28" i="2"/>
  <c r="H28" i="2"/>
  <c r="I28" i="2" l="1"/>
  <c r="F30" i="2"/>
  <c r="H30" i="2" s="1"/>
  <c r="H29" i="2"/>
  <c r="G29" i="2"/>
  <c r="I29" i="2" l="1"/>
  <c r="F31" i="2"/>
  <c r="G30" i="2"/>
  <c r="I30" i="2" s="1"/>
  <c r="F32" i="2" l="1"/>
  <c r="H32" i="2" s="1"/>
  <c r="H31" i="2"/>
  <c r="G31" i="2"/>
  <c r="I31" i="2" s="1"/>
  <c r="F33" i="2" l="1"/>
  <c r="H33" i="2" s="1"/>
  <c r="G32" i="2"/>
  <c r="I32" i="2" s="1"/>
  <c r="F34" i="2" l="1"/>
  <c r="G34" i="2" s="1"/>
  <c r="G33" i="2"/>
  <c r="I33" i="2" s="1"/>
  <c r="F35" i="2" l="1"/>
  <c r="H35" i="2" s="1"/>
  <c r="H34" i="2"/>
  <c r="I34" i="2" s="1"/>
  <c r="F36" i="2" l="1"/>
  <c r="G35" i="2"/>
  <c r="I35" i="2" s="1"/>
  <c r="F37" i="2" l="1"/>
  <c r="H37" i="2" s="1"/>
  <c r="H36" i="2"/>
  <c r="G36" i="2"/>
  <c r="I36" i="2" l="1"/>
  <c r="F38" i="2"/>
  <c r="H38" i="2" s="1"/>
  <c r="G37" i="2"/>
  <c r="I37" i="2" s="1"/>
  <c r="F39" i="2" l="1"/>
  <c r="H39" i="2" s="1"/>
  <c r="G38" i="2"/>
  <c r="I38" i="2" s="1"/>
  <c r="F40" i="2" l="1"/>
  <c r="H40" i="2" s="1"/>
  <c r="G39" i="2"/>
  <c r="I39" i="2" s="1"/>
  <c r="F41" i="2" l="1"/>
  <c r="G41" i="2" s="1"/>
  <c r="G40" i="2"/>
  <c r="I40" i="2" s="1"/>
  <c r="F42" i="2" l="1"/>
  <c r="H42" i="2" s="1"/>
  <c r="H41" i="2"/>
  <c r="I41" i="2" s="1"/>
  <c r="F43" i="2" l="1"/>
  <c r="H43" i="2" s="1"/>
  <c r="G42" i="2"/>
  <c r="I42" i="2" s="1"/>
  <c r="F44" i="2" l="1"/>
  <c r="G43" i="2"/>
  <c r="I43" i="2" s="1"/>
  <c r="F45" i="2" l="1"/>
  <c r="H44" i="2"/>
  <c r="G44" i="2"/>
  <c r="I44" i="2" l="1"/>
  <c r="F46" i="2"/>
  <c r="G46" i="2" s="1"/>
  <c r="G45" i="2"/>
  <c r="H45" i="2"/>
  <c r="I45" i="2" l="1"/>
  <c r="H46" i="2"/>
  <c r="I46" i="2" s="1"/>
  <c r="F47" i="2"/>
  <c r="H47" i="2" s="1"/>
  <c r="F48" i="2" l="1"/>
  <c r="G48" i="2" s="1"/>
  <c r="G47" i="2"/>
  <c r="I47" i="2" s="1"/>
  <c r="F49" i="2" l="1"/>
  <c r="H49" i="2" s="1"/>
  <c r="H48" i="2"/>
  <c r="I48" i="2" s="1"/>
  <c r="G49" i="2" l="1"/>
  <c r="I49" i="2" s="1"/>
  <c r="F50" i="2"/>
  <c r="F51" i="2" l="1"/>
  <c r="G51" i="2" s="1"/>
  <c r="G50" i="2"/>
  <c r="H50" i="2"/>
  <c r="H51" i="2" l="1"/>
  <c r="I51" i="2" s="1"/>
  <c r="I50" i="2"/>
  <c r="F52" i="2"/>
  <c r="G52" i="2" s="1"/>
  <c r="H52" i="2" l="1"/>
  <c r="I52" i="2" s="1"/>
  <c r="F53" i="2"/>
  <c r="F54" i="2" l="1"/>
  <c r="G54" i="2" s="1"/>
  <c r="H53" i="2"/>
  <c r="G53" i="2"/>
  <c r="I53" i="2" l="1"/>
  <c r="F55" i="2"/>
  <c r="H55" i="2" s="1"/>
  <c r="H54" i="2"/>
  <c r="I54" i="2" s="1"/>
  <c r="G55" i="2" l="1"/>
  <c r="I55" i="2" s="1"/>
  <c r="F56" i="2"/>
  <c r="H56" i="2" s="1"/>
  <c r="G56" i="2" l="1"/>
  <c r="I56" i="2" s="1"/>
  <c r="F57" i="2"/>
  <c r="G57" i="2" s="1"/>
  <c r="F58" i="2" l="1"/>
  <c r="G58" i="2" s="1"/>
  <c r="H57" i="2"/>
  <c r="I57" i="2" s="1"/>
  <c r="H58" i="2" l="1"/>
  <c r="I58" i="2" s="1"/>
  <c r="F59" i="2"/>
  <c r="F60" i="2" l="1"/>
  <c r="H60" i="2" s="1"/>
  <c r="H59" i="2"/>
  <c r="G59" i="2"/>
  <c r="I59" i="2" l="1"/>
  <c r="F61" i="2"/>
  <c r="G60" i="2"/>
  <c r="I60" i="2" s="1"/>
  <c r="F62" i="2" l="1"/>
  <c r="G62" i="2" s="1"/>
  <c r="H61" i="2"/>
  <c r="G61" i="2"/>
  <c r="I61" i="2" l="1"/>
  <c r="H62" i="2"/>
  <c r="I62" i="2" s="1"/>
  <c r="F63" i="2"/>
  <c r="H63" i="2" s="1"/>
  <c r="G63" i="2" l="1"/>
  <c r="I63" i="2" s="1"/>
  <c r="F64" i="2"/>
  <c r="H64" i="2" s="1"/>
  <c r="G64" i="2" l="1"/>
  <c r="I64" i="2" s="1"/>
  <c r="F65" i="2"/>
  <c r="G65" i="2" s="1"/>
  <c r="F66" i="2" l="1"/>
  <c r="H65" i="2"/>
  <c r="I65" i="2" s="1"/>
  <c r="H66" i="2" l="1"/>
  <c r="F67" i="2"/>
  <c r="G66" i="2"/>
  <c r="I66" i="2" l="1"/>
  <c r="F68" i="2"/>
  <c r="G68" i="2" s="1"/>
  <c r="H67" i="2"/>
  <c r="G67" i="2"/>
  <c r="I67" i="2" s="1"/>
  <c r="H68" i="2" l="1"/>
  <c r="I68" i="2" s="1"/>
  <c r="F69" i="2"/>
  <c r="G69" i="2" s="1"/>
  <c r="F70" i="2" l="1"/>
  <c r="H69" i="2"/>
  <c r="I69" i="2" s="1"/>
  <c r="F71" i="2" l="1"/>
  <c r="H71" i="2" s="1"/>
  <c r="G70" i="2"/>
  <c r="H70" i="2"/>
  <c r="I70" i="2" l="1"/>
  <c r="G71" i="2"/>
  <c r="I71" i="2" s="1"/>
  <c r="F72" i="2"/>
  <c r="F73" i="2" l="1"/>
  <c r="H72" i="2"/>
  <c r="G72" i="2"/>
  <c r="I72" i="2" l="1"/>
  <c r="G73" i="2"/>
  <c r="F74" i="2"/>
  <c r="H73" i="2"/>
  <c r="I73" i="2" l="1"/>
  <c r="F75" i="2"/>
  <c r="H75" i="2" s="1"/>
  <c r="G74" i="2"/>
  <c r="H74" i="2"/>
  <c r="I74" i="2" l="1"/>
  <c r="F76" i="2"/>
  <c r="H76" i="2" s="1"/>
  <c r="G75" i="2"/>
  <c r="I75" i="2" s="1"/>
  <c r="G76" i="2" l="1"/>
  <c r="I76" i="2" s="1"/>
  <c r="F77" i="2"/>
  <c r="H77" i="2" s="1"/>
  <c r="G77" i="2" l="1"/>
  <c r="I77" i="2" s="1"/>
  <c r="F78" i="2"/>
  <c r="H78" i="2" s="1"/>
  <c r="G78" i="2" l="1"/>
  <c r="I78" i="2" s="1"/>
  <c r="F79" i="2"/>
  <c r="H79" i="2" s="1"/>
  <c r="F80" i="2" l="1"/>
  <c r="G80" i="2" s="1"/>
  <c r="G79" i="2"/>
  <c r="I79" i="2" s="1"/>
  <c r="H80" i="2" l="1"/>
  <c r="I80" i="2" s="1"/>
  <c r="F81" i="2"/>
  <c r="F82" i="2" l="1"/>
  <c r="G82" i="2" s="1"/>
  <c r="G81" i="2"/>
  <c r="H81" i="2"/>
  <c r="H82" i="2" l="1"/>
  <c r="I82" i="2" s="1"/>
  <c r="I81" i="2"/>
  <c r="F83" i="2"/>
  <c r="G83" i="2" s="1"/>
  <c r="H83" i="2" l="1"/>
  <c r="I83" i="2" s="1"/>
  <c r="F84" i="2"/>
  <c r="H84" i="2" s="1"/>
  <c r="G84" i="2" l="1"/>
  <c r="I84" i="2" s="1"/>
  <c r="F85" i="2"/>
  <c r="H85" i="2" s="1"/>
  <c r="G85" i="2" l="1"/>
  <c r="I85" i="2" s="1"/>
  <c r="F86" i="2"/>
  <c r="H86" i="2" s="1"/>
  <c r="G86" i="2"/>
  <c r="I86" i="2" l="1"/>
  <c r="F87" i="2"/>
  <c r="G87" i="2" s="1"/>
  <c r="H87" i="2" l="1"/>
  <c r="I87" i="2" s="1"/>
  <c r="F88" i="2"/>
  <c r="H88" i="2" s="1"/>
  <c r="G88" i="2"/>
  <c r="I88" i="2" l="1"/>
  <c r="F89" i="2"/>
  <c r="H89" i="2" s="1"/>
  <c r="G89" i="2" l="1"/>
  <c r="I89" i="2" s="1"/>
  <c r="F90" i="2"/>
  <c r="G90" i="2" s="1"/>
  <c r="H90" i="2" l="1"/>
  <c r="I90" i="2" s="1"/>
  <c r="F91" i="2"/>
  <c r="F92" i="2" l="1"/>
  <c r="G92" i="2" s="1"/>
  <c r="H91" i="2"/>
  <c r="G91" i="2"/>
  <c r="H92" i="2" l="1"/>
  <c r="I92" i="2" s="1"/>
  <c r="I91" i="2"/>
  <c r="F93" i="2"/>
  <c r="H93" i="2" s="1"/>
  <c r="F94" i="2" l="1"/>
  <c r="H94" i="2" s="1"/>
  <c r="G93" i="2"/>
  <c r="I93" i="2" s="1"/>
  <c r="G94" i="2" l="1"/>
  <c r="I94" i="2" s="1"/>
  <c r="F95" i="2"/>
  <c r="G95" i="2" s="1"/>
  <c r="H95" i="2" l="1"/>
  <c r="I95" i="2" s="1"/>
  <c r="F96" i="2"/>
  <c r="H96" i="2" s="1"/>
  <c r="G96" i="2" l="1"/>
  <c r="I96" i="2" s="1"/>
  <c r="F97" i="2"/>
  <c r="H97" i="2" s="1"/>
  <c r="G97" i="2"/>
  <c r="I97" i="2" l="1"/>
  <c r="F98" i="2"/>
  <c r="H98" i="2" s="1"/>
  <c r="G98" i="2" l="1"/>
  <c r="I98" i="2"/>
  <c r="F99" i="2"/>
  <c r="G99" i="2" s="1"/>
  <c r="H99" i="2" l="1"/>
  <c r="I99" i="2" s="1"/>
  <c r="F100" i="2"/>
  <c r="H100" i="2" s="1"/>
  <c r="G100" i="2" l="1"/>
  <c r="I100" i="2" s="1"/>
  <c r="F101" i="2"/>
  <c r="F102" i="2" l="1"/>
  <c r="G101" i="2"/>
  <c r="H101" i="2"/>
  <c r="I101" i="2" l="1"/>
  <c r="F103" i="2"/>
  <c r="H102" i="2"/>
  <c r="G102" i="2"/>
  <c r="I102" i="2" l="1"/>
  <c r="F104" i="2"/>
  <c r="H104" i="2" s="1"/>
  <c r="H103" i="2"/>
  <c r="G103" i="2"/>
  <c r="I103" i="2" l="1"/>
  <c r="G104" i="2"/>
  <c r="I104" i="2" s="1"/>
  <c r="F105" i="2"/>
  <c r="H105" i="2" s="1"/>
  <c r="G105" i="2" l="1"/>
  <c r="I105" i="2" s="1"/>
  <c r="F106" i="2"/>
  <c r="H106" i="2" s="1"/>
  <c r="G106" i="2" l="1"/>
  <c r="I106" i="2" s="1"/>
  <c r="F107" i="2"/>
  <c r="G107" i="2" s="1"/>
  <c r="H107" i="2" l="1"/>
  <c r="I107" i="2" s="1"/>
  <c r="F108" i="2"/>
  <c r="H108" i="2" s="1"/>
  <c r="G108" i="2" l="1"/>
  <c r="I108" i="2" s="1"/>
  <c r="F109" i="2"/>
  <c r="F110" i="2" l="1"/>
  <c r="H110" i="2" s="1"/>
  <c r="G109" i="2"/>
  <c r="H109" i="2"/>
  <c r="I109" i="2" l="1"/>
  <c r="G110" i="2"/>
  <c r="I110" i="2" s="1"/>
  <c r="F111" i="2"/>
  <c r="G111" i="2" s="1"/>
  <c r="H111" i="2"/>
  <c r="I111" i="2" l="1"/>
  <c r="F112" i="2"/>
  <c r="H112" i="2" s="1"/>
  <c r="G112" i="2" l="1"/>
  <c r="I112" i="2" s="1"/>
  <c r="F113" i="2"/>
  <c r="G113" i="2" s="1"/>
  <c r="H113" i="2" l="1"/>
  <c r="I113" i="2" s="1"/>
  <c r="F114" i="2"/>
  <c r="F115" i="2" l="1"/>
  <c r="H115" i="2" s="1"/>
  <c r="H114" i="2"/>
  <c r="G114" i="2"/>
  <c r="G115" i="2" l="1"/>
  <c r="I115" i="2" s="1"/>
  <c r="I114" i="2"/>
  <c r="F116" i="2"/>
  <c r="H116" i="2" s="1"/>
  <c r="G116" i="2" l="1"/>
  <c r="I116" i="2" s="1"/>
  <c r="F117" i="2"/>
  <c r="G117" i="2" s="1"/>
  <c r="F118" i="2" l="1"/>
  <c r="G118" i="2"/>
  <c r="H118" i="2"/>
  <c r="H117" i="2"/>
  <c r="I117" i="2" s="1"/>
  <c r="I118" i="2" l="1"/>
  <c r="F119" i="2"/>
  <c r="G119" i="2" s="1"/>
  <c r="F120" i="2" l="1"/>
  <c r="H120" i="2" s="1"/>
  <c r="H119" i="2"/>
  <c r="I119" i="2" s="1"/>
  <c r="G120" i="2" l="1"/>
  <c r="I120" i="2" s="1"/>
  <c r="F121" i="2"/>
  <c r="H121" i="2" s="1"/>
  <c r="G121" i="2" l="1"/>
  <c r="I121" i="2" s="1"/>
  <c r="F122" i="2"/>
  <c r="G122" i="2" s="1"/>
  <c r="H122" i="2" l="1"/>
  <c r="I122" i="2" s="1"/>
  <c r="F123" i="2"/>
  <c r="G123" i="2" s="1"/>
  <c r="H123" i="2" l="1"/>
  <c r="I123" i="2" s="1"/>
  <c r="F124" i="2"/>
  <c r="H124" i="2" s="1"/>
  <c r="G124" i="2" l="1"/>
  <c r="I124" i="2" s="1"/>
  <c r="F125" i="2"/>
  <c r="G125" i="2" s="1"/>
  <c r="H125" i="2" l="1"/>
  <c r="I125" i="2" s="1"/>
  <c r="F126" i="2"/>
  <c r="G126" i="2" s="1"/>
  <c r="H126" i="2" l="1"/>
  <c r="I126" i="2" s="1"/>
  <c r="F127" i="2"/>
  <c r="H127" i="2"/>
  <c r="F128" i="2" l="1"/>
  <c r="G127" i="2"/>
  <c r="I127" i="2" s="1"/>
  <c r="F129" i="2" l="1"/>
  <c r="H128" i="2"/>
  <c r="G128" i="2"/>
  <c r="I128" i="2" s="1"/>
  <c r="F130" i="2" l="1"/>
  <c r="G129" i="2"/>
  <c r="H129" i="2"/>
  <c r="I129" i="2" l="1"/>
  <c r="F131" i="2"/>
  <c r="G130" i="2"/>
  <c r="H130" i="2"/>
  <c r="I130" i="2" l="1"/>
  <c r="F132" i="2"/>
  <c r="H132" i="2" s="1"/>
  <c r="G131" i="2"/>
  <c r="H131" i="2"/>
  <c r="I131" i="2" l="1"/>
  <c r="G132" i="2"/>
  <c r="I132" i="2" s="1"/>
  <c r="F133" i="2"/>
  <c r="H133" i="2" s="1"/>
  <c r="G133" i="2"/>
  <c r="I133" i="2" l="1"/>
  <c r="F134" i="2"/>
  <c r="G134" i="2" s="1"/>
  <c r="H134" i="2" l="1"/>
  <c r="I134" i="2" s="1"/>
  <c r="F135" i="2"/>
  <c r="G135" i="2"/>
  <c r="F136" i="2" l="1"/>
  <c r="H135" i="2"/>
  <c r="I135" i="2" s="1"/>
  <c r="F137" i="2" l="1"/>
  <c r="G137" i="2" s="1"/>
  <c r="H136" i="2"/>
  <c r="G136" i="2"/>
  <c r="I136" i="2" l="1"/>
  <c r="H137" i="2"/>
  <c r="I137" i="2" s="1"/>
  <c r="F138" i="2"/>
  <c r="G138" i="2" s="1"/>
  <c r="H138" i="2" l="1"/>
  <c r="I138" i="2" s="1"/>
  <c r="F139" i="2"/>
  <c r="G139" i="2" s="1"/>
  <c r="F140" i="2" l="1"/>
  <c r="H140" i="2" s="1"/>
  <c r="H139" i="2"/>
  <c r="I139" i="2" s="1"/>
  <c r="G140" i="2" l="1"/>
  <c r="I140" i="2" s="1"/>
  <c r="F141" i="2"/>
  <c r="H141" i="2" s="1"/>
  <c r="F142" i="2" l="1"/>
  <c r="H142" i="2" s="1"/>
  <c r="G141" i="2"/>
  <c r="I141" i="2" s="1"/>
  <c r="G142" i="2" l="1"/>
  <c r="I142" i="2" s="1"/>
  <c r="F143" i="2"/>
  <c r="H143" i="2" s="1"/>
  <c r="G143" i="2" l="1"/>
  <c r="I143" i="2" s="1"/>
  <c r="F144" i="2"/>
  <c r="H144" i="2" s="1"/>
  <c r="G144" i="2" l="1"/>
  <c r="I144" i="2" s="1"/>
  <c r="F145" i="2"/>
  <c r="H145" i="2" s="1"/>
  <c r="G145" i="2" l="1"/>
  <c r="I145" i="2" s="1"/>
  <c r="F146" i="2"/>
  <c r="H146" i="2" s="1"/>
  <c r="G146" i="2" l="1"/>
  <c r="I146" i="2" s="1"/>
  <c r="F147" i="2"/>
  <c r="H147" i="2" s="1"/>
  <c r="G147" i="2" l="1"/>
  <c r="I147" i="2" s="1"/>
  <c r="F148" i="2"/>
  <c r="H148" i="2" s="1"/>
  <c r="G148" i="2" l="1"/>
  <c r="I148" i="2" s="1"/>
  <c r="F149" i="2"/>
  <c r="G149" i="2" s="1"/>
  <c r="H149" i="2" l="1"/>
  <c r="I149" i="2" s="1"/>
  <c r="F150" i="2"/>
  <c r="H150" i="2" s="1"/>
  <c r="G150" i="2"/>
  <c r="I150" i="2" l="1"/>
  <c r="F151" i="2"/>
  <c r="H151" i="2" s="1"/>
  <c r="G151" i="2" l="1"/>
  <c r="I151" i="2" s="1"/>
  <c r="F152" i="2"/>
  <c r="G152" i="2" s="1"/>
  <c r="H152" i="2" l="1"/>
  <c r="I152" i="2" s="1"/>
  <c r="F153" i="2"/>
  <c r="H153" i="2" s="1"/>
  <c r="G153" i="2" l="1"/>
  <c r="I153" i="2" s="1"/>
  <c r="F154" i="2"/>
  <c r="G154" i="2" s="1"/>
  <c r="H154" i="2"/>
  <c r="I154" i="2" l="1"/>
  <c r="F155" i="2"/>
  <c r="H155" i="2" s="1"/>
  <c r="G155" i="2" l="1"/>
  <c r="I155" i="2" s="1"/>
  <c r="F156" i="2"/>
  <c r="H156" i="2" s="1"/>
  <c r="G156" i="2" l="1"/>
  <c r="I156" i="2" s="1"/>
  <c r="F157" i="2"/>
  <c r="H157" i="2" s="1"/>
  <c r="G157" i="2" l="1"/>
  <c r="I157" i="2" s="1"/>
  <c r="F158" i="2"/>
  <c r="H158" i="2" s="1"/>
  <c r="G158" i="2" l="1"/>
  <c r="I158" i="2" s="1"/>
  <c r="F159" i="2"/>
  <c r="H159" i="2" s="1"/>
  <c r="G159" i="2" l="1"/>
  <c r="I159" i="2" s="1"/>
  <c r="F160" i="2"/>
  <c r="H160" i="2"/>
  <c r="G160" i="2"/>
  <c r="I160" i="2" l="1"/>
  <c r="F161" i="2"/>
  <c r="G161" i="2" s="1"/>
  <c r="H161" i="2" l="1"/>
  <c r="I161" i="2" s="1"/>
  <c r="F162" i="2"/>
  <c r="H162" i="2" s="1"/>
  <c r="G162" i="2" l="1"/>
  <c r="I162" i="2" s="1"/>
  <c r="F163" i="2"/>
  <c r="G163" i="2" s="1"/>
  <c r="H163" i="2" l="1"/>
  <c r="I163" i="2" s="1"/>
  <c r="F164" i="2"/>
  <c r="G164" i="2"/>
  <c r="H164" i="2"/>
  <c r="I164" i="2" l="1"/>
  <c r="F165" i="2"/>
  <c r="G165" i="2" s="1"/>
  <c r="H165" i="2" l="1"/>
  <c r="I165" i="2" s="1"/>
  <c r="F166" i="2"/>
  <c r="G166" i="2" s="1"/>
  <c r="H166" i="2" l="1"/>
  <c r="I166" i="2" s="1"/>
  <c r="F167" i="2"/>
  <c r="G167" i="2" s="1"/>
  <c r="H167" i="2" l="1"/>
  <c r="I167" i="2" s="1"/>
  <c r="F168" i="2"/>
  <c r="G168" i="2"/>
  <c r="H168" i="2"/>
  <c r="I168" i="2" l="1"/>
  <c r="F169" i="2"/>
  <c r="H169" i="2" s="1"/>
  <c r="G169" i="2" l="1"/>
  <c r="I169" i="2" s="1"/>
  <c r="F170" i="2"/>
  <c r="G170" i="2" s="1"/>
  <c r="H170" i="2" l="1"/>
  <c r="I170" i="2" s="1"/>
  <c r="F171" i="2"/>
  <c r="H171" i="2" s="1"/>
  <c r="G171" i="2"/>
  <c r="I171" i="2" l="1"/>
  <c r="F172" i="2"/>
  <c r="G172" i="2" s="1"/>
  <c r="H172" i="2" l="1"/>
  <c r="I172" i="2" s="1"/>
  <c r="F173" i="2"/>
  <c r="H173" i="2"/>
  <c r="G173" i="2"/>
  <c r="I173" i="2" l="1"/>
  <c r="F174" i="2"/>
  <c r="G174" i="2" s="1"/>
  <c r="H174" i="2" l="1"/>
  <c r="I174" i="2" s="1"/>
  <c r="F175" i="2"/>
  <c r="G175" i="2" s="1"/>
  <c r="H175" i="2" l="1"/>
  <c r="I175" i="2" s="1"/>
  <c r="F176" i="2"/>
  <c r="F177" i="2" l="1"/>
  <c r="G176" i="2"/>
  <c r="H176" i="2"/>
  <c r="I176" i="2" l="1"/>
  <c r="F178" i="2"/>
  <c r="G177" i="2"/>
  <c r="H177" i="2"/>
  <c r="I177" i="2" l="1"/>
  <c r="F179" i="2"/>
  <c r="H178" i="2"/>
  <c r="G178" i="2"/>
  <c r="I178" i="2" l="1"/>
  <c r="F180" i="2"/>
  <c r="G180" i="2" s="1"/>
  <c r="H179" i="2"/>
  <c r="G179" i="2"/>
  <c r="I179" i="2" l="1"/>
  <c r="H180" i="2"/>
  <c r="I180" i="2" s="1"/>
  <c r="F181" i="2"/>
  <c r="F182" i="2" l="1"/>
  <c r="H182" i="2" s="1"/>
  <c r="G182" i="2"/>
  <c r="G181" i="2"/>
  <c r="H181" i="2"/>
  <c r="I182" i="2" l="1"/>
  <c r="I181" i="2"/>
  <c r="F183" i="2"/>
  <c r="H183" i="2" s="1"/>
  <c r="G183" i="2" l="1"/>
  <c r="I183" i="2" s="1"/>
  <c r="F184" i="2"/>
  <c r="F185" i="2" l="1"/>
  <c r="H184" i="2"/>
  <c r="G184" i="2"/>
  <c r="I184" i="2" l="1"/>
  <c r="F186" i="2"/>
  <c r="H186" i="2" s="1"/>
  <c r="H185" i="2"/>
  <c r="G185" i="2"/>
  <c r="I185" i="2" l="1"/>
  <c r="G186" i="2"/>
  <c r="I186" i="2" s="1"/>
  <c r="F187" i="2"/>
  <c r="G187" i="2" s="1"/>
  <c r="H187" i="2" l="1"/>
  <c r="I187" i="2" s="1"/>
  <c r="F188" i="2"/>
  <c r="G188" i="2"/>
  <c r="H188" i="2"/>
  <c r="I188" i="2" l="1"/>
  <c r="F189" i="2"/>
  <c r="G189" i="2" s="1"/>
  <c r="H189" i="2" l="1"/>
  <c r="I189" i="2" s="1"/>
  <c r="F190" i="2"/>
  <c r="H190" i="2" s="1"/>
  <c r="G190" i="2"/>
  <c r="I190" i="2" l="1"/>
  <c r="F191" i="2"/>
  <c r="H191" i="2" s="1"/>
  <c r="G191" i="2" l="1"/>
  <c r="I191" i="2" s="1"/>
  <c r="F192" i="2"/>
  <c r="H192" i="2" s="1"/>
  <c r="G192" i="2" l="1"/>
  <c r="I192" i="2" s="1"/>
  <c r="F193" i="2"/>
  <c r="H193" i="2"/>
  <c r="G193" i="2"/>
  <c r="I193" i="2" l="1"/>
  <c r="F194" i="2"/>
  <c r="F195" i="2" l="1"/>
  <c r="H195" i="2" s="1"/>
  <c r="G195" i="2"/>
  <c r="H194" i="2"/>
  <c r="G194" i="2"/>
  <c r="I194" i="2" l="1"/>
  <c r="I195" i="2"/>
  <c r="F196" i="2"/>
  <c r="H196" i="2" s="1"/>
  <c r="G196" i="2"/>
  <c r="I196" i="2" l="1"/>
  <c r="F197" i="2"/>
  <c r="G197" i="2" s="1"/>
  <c r="F198" i="2" l="1"/>
  <c r="G198" i="2" s="1"/>
  <c r="H197" i="2"/>
  <c r="I197" i="2" s="1"/>
  <c r="H198" i="2" l="1"/>
  <c r="I198" i="2" s="1"/>
  <c r="F199" i="2"/>
  <c r="G199" i="2"/>
  <c r="H199" i="2"/>
  <c r="I199" i="2" l="1"/>
  <c r="F200" i="2"/>
  <c r="H200" i="2" s="1"/>
  <c r="G200" i="2" l="1"/>
  <c r="I200" i="2" s="1"/>
  <c r="F201" i="2"/>
  <c r="F202" i="2" l="1"/>
  <c r="G201" i="2"/>
  <c r="H201" i="2"/>
  <c r="I201" i="2" l="1"/>
  <c r="F203" i="2"/>
  <c r="H202" i="2"/>
  <c r="G202" i="2"/>
  <c r="I202" i="2" s="1"/>
  <c r="F204" i="2" l="1"/>
  <c r="G204" i="2" s="1"/>
  <c r="H204" i="2"/>
  <c r="G203" i="2"/>
  <c r="H203" i="2"/>
  <c r="I204" i="2" l="1"/>
  <c r="I203" i="2"/>
  <c r="F205" i="2"/>
  <c r="H205" i="2" s="1"/>
  <c r="G205" i="2" l="1"/>
  <c r="I205" i="2" s="1"/>
  <c r="F206" i="2"/>
  <c r="G206" i="2" s="1"/>
  <c r="H206" i="2" l="1"/>
  <c r="I206" i="2" s="1"/>
  <c r="F207" i="2"/>
  <c r="F208" i="2" l="1"/>
  <c r="H208" i="2" s="1"/>
  <c r="H207" i="2"/>
  <c r="G207" i="2"/>
  <c r="I207" i="2" l="1"/>
  <c r="G208" i="2"/>
  <c r="I208" i="2" s="1"/>
  <c r="F209" i="2"/>
  <c r="G209" i="2" s="1"/>
  <c r="H209" i="2"/>
  <c r="I209" i="2" l="1"/>
  <c r="F210" i="2"/>
  <c r="H210" i="2" s="1"/>
  <c r="G210" i="2"/>
  <c r="I210" i="2" l="1"/>
  <c r="F211" i="2"/>
  <c r="H211" i="2" s="1"/>
  <c r="G211" i="2" l="1"/>
  <c r="I211" i="2" s="1"/>
  <c r="F212" i="2"/>
  <c r="G212" i="2"/>
  <c r="H212" i="2"/>
  <c r="I212" i="2" l="1"/>
  <c r="F213" i="2"/>
  <c r="H213" i="2" s="1"/>
  <c r="G213" i="2" l="1"/>
  <c r="I213" i="2" s="1"/>
  <c r="F214" i="2"/>
  <c r="G214" i="2"/>
  <c r="H214" i="2"/>
  <c r="I214" i="2" l="1"/>
  <c r="F215" i="2"/>
  <c r="G215" i="2" s="1"/>
  <c r="H215" i="2" l="1"/>
  <c r="I215" i="2" s="1"/>
  <c r="F216" i="2"/>
  <c r="F217" i="2" l="1"/>
  <c r="H217" i="2" s="1"/>
  <c r="H216" i="2"/>
  <c r="G216" i="2"/>
  <c r="I216" i="2" l="1"/>
  <c r="G217" i="2"/>
  <c r="I217" i="2" s="1"/>
  <c r="F218" i="2"/>
  <c r="G218" i="2" s="1"/>
  <c r="H218" i="2"/>
  <c r="I218" i="2" l="1"/>
  <c r="F219" i="2"/>
  <c r="H219" i="2"/>
  <c r="G219" i="2"/>
  <c r="I219" i="2" l="1"/>
  <c r="F220" i="2"/>
  <c r="G220" i="2" s="1"/>
  <c r="H220" i="2" l="1"/>
  <c r="I220" i="2" s="1"/>
  <c r="F221" i="2"/>
  <c r="G221" i="2" s="1"/>
  <c r="H221" i="2" l="1"/>
  <c r="I221" i="2" s="1"/>
  <c r="F222" i="2"/>
  <c r="H222" i="2" s="1"/>
  <c r="G222" i="2" l="1"/>
  <c r="I222" i="2" s="1"/>
  <c r="F223" i="2"/>
  <c r="H223" i="2" s="1"/>
  <c r="G223" i="2" l="1"/>
  <c r="I223" i="2" s="1"/>
  <c r="F224" i="2"/>
  <c r="H224" i="2"/>
  <c r="G224" i="2"/>
  <c r="I224" i="2" l="1"/>
  <c r="F225" i="2"/>
  <c r="G225" i="2" s="1"/>
  <c r="H225" i="2"/>
  <c r="I225" i="2" l="1"/>
  <c r="F226" i="2"/>
  <c r="H226" i="2" s="1"/>
  <c r="G226" i="2" l="1"/>
  <c r="I226" i="2" s="1"/>
  <c r="F227" i="2"/>
  <c r="H227" i="2"/>
  <c r="F228" i="2" l="1"/>
  <c r="G228" i="2" s="1"/>
  <c r="G227" i="2"/>
  <c r="I227" i="2" s="1"/>
  <c r="F229" i="2" l="1"/>
  <c r="G229" i="2" s="1"/>
  <c r="H228" i="2"/>
  <c r="I228" i="2" s="1"/>
  <c r="H229" i="2" l="1"/>
  <c r="I229" i="2" s="1"/>
  <c r="F230" i="2"/>
  <c r="G230" i="2" s="1"/>
  <c r="H230" i="2"/>
  <c r="I230" i="2" l="1"/>
  <c r="F231" i="2"/>
  <c r="G231" i="2" s="1"/>
  <c r="H231" i="2" l="1"/>
  <c r="I231" i="2" s="1"/>
  <c r="F232" i="2"/>
  <c r="H232" i="2"/>
  <c r="G232" i="2"/>
  <c r="I232" i="2" l="1"/>
  <c r="F233" i="2"/>
  <c r="G233" i="2" s="1"/>
  <c r="H233" i="2" l="1"/>
  <c r="I233" i="2" s="1"/>
  <c r="F234" i="2"/>
  <c r="H234" i="2" s="1"/>
  <c r="G234" i="2" l="1"/>
  <c r="I234" i="2" s="1"/>
  <c r="F235" i="2"/>
  <c r="G235" i="2"/>
  <c r="H235" i="2"/>
  <c r="I235" i="2" l="1"/>
  <c r="F236" i="2"/>
  <c r="H236" i="2" s="1"/>
  <c r="G236" i="2" l="1"/>
  <c r="I236" i="2" s="1"/>
  <c r="F237" i="2"/>
  <c r="H237" i="2" s="1"/>
  <c r="G237" i="2" l="1"/>
  <c r="I237" i="2" s="1"/>
  <c r="F238" i="2"/>
  <c r="G238" i="2" s="1"/>
  <c r="H238" i="2"/>
  <c r="I238" i="2" l="1"/>
  <c r="F239" i="2"/>
  <c r="G239" i="2" s="1"/>
  <c r="H239" i="2" l="1"/>
  <c r="I239" i="2" s="1"/>
  <c r="F240" i="2"/>
  <c r="H240" i="2" s="1"/>
  <c r="G240" i="2"/>
  <c r="I240" i="2" l="1"/>
  <c r="F241" i="2"/>
  <c r="H241" i="2" s="1"/>
  <c r="G241" i="2" l="1"/>
  <c r="I241" i="2" s="1"/>
  <c r="F242" i="2"/>
  <c r="G242" i="2"/>
  <c r="H242" i="2"/>
  <c r="I242" i="2" l="1"/>
  <c r="F243" i="2"/>
  <c r="H243" i="2" s="1"/>
  <c r="G243" i="2" l="1"/>
  <c r="I243" i="2"/>
  <c r="F244" i="2"/>
  <c r="G244" i="2" s="1"/>
  <c r="H244" i="2" l="1"/>
  <c r="I244" i="2" s="1"/>
  <c r="F245" i="2"/>
  <c r="H245" i="2"/>
  <c r="G245" i="2"/>
  <c r="I245" i="2" l="1"/>
  <c r="F246" i="2"/>
  <c r="G246" i="2" s="1"/>
  <c r="H246" i="2" l="1"/>
  <c r="I246" i="2" s="1"/>
  <c r="F247" i="2"/>
  <c r="G247" i="2" s="1"/>
  <c r="H247" i="2" l="1"/>
  <c r="I247" i="2" s="1"/>
  <c r="F248" i="2"/>
  <c r="G248" i="2"/>
  <c r="H248" i="2"/>
  <c r="I248" i="2" l="1"/>
  <c r="F249" i="2"/>
  <c r="G249" i="2" s="1"/>
  <c r="H249" i="2" l="1"/>
  <c r="I249" i="2" s="1"/>
  <c r="F250" i="2"/>
  <c r="H250" i="2"/>
  <c r="G250" i="2"/>
  <c r="I250" i="2" l="1"/>
  <c r="F251" i="2"/>
  <c r="G251" i="2" s="1"/>
  <c r="H251" i="2" l="1"/>
  <c r="I251" i="2" s="1"/>
  <c r="F252" i="2"/>
  <c r="G252" i="2"/>
  <c r="H252" i="2"/>
  <c r="I252" i="2" l="1"/>
  <c r="F253" i="2"/>
  <c r="H253" i="2"/>
  <c r="G253" i="2"/>
  <c r="I253" i="2" l="1"/>
  <c r="F254" i="2"/>
  <c r="H254" i="2" s="1"/>
  <c r="G254" i="2" l="1"/>
  <c r="I254" i="2" s="1"/>
  <c r="F255" i="2"/>
  <c r="G255" i="2"/>
  <c r="H255" i="2"/>
  <c r="I255" i="2" l="1"/>
  <c r="F256" i="2"/>
  <c r="G256" i="2" s="1"/>
  <c r="H256" i="2" l="1"/>
  <c r="I256" i="2" s="1"/>
  <c r="F257" i="2"/>
  <c r="G257" i="2"/>
  <c r="H257" i="2"/>
  <c r="I257" i="2" l="1"/>
  <c r="F258" i="2"/>
  <c r="H258" i="2" s="1"/>
  <c r="G258" i="2"/>
  <c r="I258" i="2" l="1"/>
  <c r="F259" i="2"/>
  <c r="H259" i="2" s="1"/>
  <c r="G259" i="2"/>
  <c r="I259" i="2" l="1"/>
  <c r="F260" i="2"/>
  <c r="H260" i="2" s="1"/>
  <c r="G260" i="2" l="1"/>
  <c r="I260" i="2" s="1"/>
  <c r="F261" i="2"/>
  <c r="H261" i="2"/>
  <c r="G261" i="2"/>
  <c r="I261" i="2" l="1"/>
  <c r="F262" i="2"/>
  <c r="H262" i="2" s="1"/>
  <c r="G262" i="2" l="1"/>
  <c r="I262" i="2" s="1"/>
  <c r="F263" i="2"/>
  <c r="G263" i="2"/>
  <c r="H263" i="2"/>
  <c r="I263" i="2" l="1"/>
  <c r="F264" i="2"/>
  <c r="H264" i="2" s="1"/>
  <c r="G264" i="2"/>
  <c r="I264" i="2" l="1"/>
  <c r="F265" i="2"/>
  <c r="G265" i="2" s="1"/>
  <c r="H265" i="2"/>
  <c r="I265" i="2" l="1"/>
  <c r="F266" i="2"/>
  <c r="G266" i="2"/>
  <c r="H266" i="2"/>
  <c r="I266" i="2" l="1"/>
  <c r="F267" i="2"/>
  <c r="G267" i="2" s="1"/>
  <c r="H267" i="2"/>
  <c r="I267" i="2" l="1"/>
  <c r="F268" i="2"/>
  <c r="H268" i="2" s="1"/>
  <c r="G268" i="2"/>
  <c r="I268" i="2" l="1"/>
  <c r="F269" i="2"/>
  <c r="G269" i="2" s="1"/>
  <c r="H269" i="2"/>
  <c r="I269" i="2" l="1"/>
  <c r="F270" i="2"/>
  <c r="H270" i="2" s="1"/>
  <c r="G270" i="2"/>
  <c r="I270" i="2" l="1"/>
  <c r="F271" i="2"/>
  <c r="H271" i="2"/>
  <c r="G271" i="2"/>
  <c r="I271" i="2" l="1"/>
  <c r="F272" i="2"/>
  <c r="G272" i="2"/>
  <c r="H272" i="2"/>
  <c r="I272" i="2" l="1"/>
  <c r="F273" i="2"/>
  <c r="H273" i="2" s="1"/>
  <c r="G273" i="2"/>
  <c r="I273" i="2" l="1"/>
  <c r="F274" i="2"/>
  <c r="H274" i="2" s="1"/>
  <c r="G274" i="2"/>
  <c r="I274" i="2" l="1"/>
  <c r="F275" i="2"/>
  <c r="G275" i="2"/>
  <c r="H275" i="2"/>
  <c r="I275" i="2" l="1"/>
  <c r="F276" i="2"/>
  <c r="G276" i="2" s="1"/>
  <c r="H276" i="2" l="1"/>
  <c r="I276" i="2" s="1"/>
  <c r="F277" i="2"/>
  <c r="G277" i="2"/>
  <c r="H277" i="2"/>
  <c r="I277" i="2" l="1"/>
  <c r="F278" i="2"/>
  <c r="G278" i="2" s="1"/>
  <c r="H278" i="2"/>
  <c r="I278" i="2" l="1"/>
  <c r="F279" i="2"/>
  <c r="G279" i="2" s="1"/>
  <c r="H279" i="2"/>
  <c r="I279" i="2" l="1"/>
  <c r="F280" i="2"/>
  <c r="G280" i="2" s="1"/>
  <c r="H280" i="2"/>
  <c r="I280" i="2" l="1"/>
  <c r="F281" i="2"/>
  <c r="G281" i="2"/>
  <c r="H281" i="2"/>
  <c r="I281" i="2" l="1"/>
  <c r="F282" i="2"/>
  <c r="G282" i="2" s="1"/>
  <c r="H282" i="2"/>
  <c r="I282" i="2" l="1"/>
  <c r="F283" i="2"/>
  <c r="G283" i="2" s="1"/>
  <c r="H283" i="2"/>
  <c r="I283" i="2" l="1"/>
  <c r="F284" i="2"/>
  <c r="G284" i="2" s="1"/>
  <c r="H284" i="2"/>
  <c r="I284" i="2" l="1"/>
  <c r="F285" i="2"/>
  <c r="G285" i="2" s="1"/>
  <c r="H285" i="2"/>
  <c r="I285" i="2" l="1"/>
  <c r="F286" i="2"/>
  <c r="G286" i="2" s="1"/>
  <c r="H286" i="2"/>
  <c r="I286" i="2" l="1"/>
  <c r="F287" i="2"/>
  <c r="G287" i="2" s="1"/>
  <c r="H287" i="2"/>
  <c r="I287" i="2" l="1"/>
  <c r="F288" i="2"/>
  <c r="H288" i="2" s="1"/>
  <c r="G288" i="2"/>
  <c r="I288" i="2" l="1"/>
  <c r="F289" i="2"/>
  <c r="H289" i="2" s="1"/>
  <c r="G289" i="2"/>
  <c r="I289" i="2" l="1"/>
  <c r="F290" i="2"/>
  <c r="G290" i="2" s="1"/>
  <c r="H290" i="2" l="1"/>
  <c r="I290" i="2" s="1"/>
  <c r="F291" i="2"/>
  <c r="G291" i="2"/>
  <c r="H291" i="2"/>
  <c r="I291" i="2" l="1"/>
  <c r="F292" i="2"/>
  <c r="H292" i="2" s="1"/>
  <c r="G292" i="2"/>
  <c r="I292" i="2" l="1"/>
  <c r="F293" i="2"/>
  <c r="H293" i="2" s="1"/>
  <c r="G293" i="2"/>
  <c r="I293" i="2" l="1"/>
  <c r="F294" i="2"/>
  <c r="H294" i="2" s="1"/>
  <c r="G294" i="2"/>
  <c r="I294" i="2" l="1"/>
  <c r="F295" i="2"/>
  <c r="G295" i="2" s="1"/>
  <c r="H295" i="2" l="1"/>
  <c r="I295" i="2" s="1"/>
  <c r="F296" i="2"/>
  <c r="H296" i="2"/>
  <c r="G296" i="2"/>
  <c r="I296" i="2" l="1"/>
  <c r="F297" i="2"/>
  <c r="G297" i="2" s="1"/>
  <c r="H297" i="2"/>
  <c r="I297" i="2" l="1"/>
  <c r="F298" i="2"/>
  <c r="H298" i="2" s="1"/>
  <c r="G298" i="2"/>
  <c r="I298" i="2" l="1"/>
  <c r="F299" i="2"/>
  <c r="G299" i="2" s="1"/>
  <c r="H299" i="2"/>
  <c r="I299" i="2" l="1"/>
  <c r="F300" i="2"/>
  <c r="G300" i="2" s="1"/>
  <c r="H300" i="2"/>
  <c r="I300" i="2" l="1"/>
  <c r="F301" i="2"/>
  <c r="H301" i="2" s="1"/>
  <c r="G301" i="2"/>
  <c r="I301" i="2" l="1"/>
  <c r="F302" i="2"/>
  <c r="H302" i="2" s="1"/>
  <c r="G302" i="2"/>
  <c r="I302" i="2" l="1"/>
  <c r="F303" i="2"/>
  <c r="H303" i="2" s="1"/>
  <c r="G303" i="2"/>
  <c r="I303" i="2" l="1"/>
  <c r="F304" i="2"/>
  <c r="H304" i="2" s="1"/>
  <c r="G304" i="2"/>
  <c r="I304" i="2" l="1"/>
  <c r="F305" i="2"/>
  <c r="H305" i="2" s="1"/>
  <c r="G305" i="2"/>
  <c r="I305" i="2" l="1"/>
  <c r="F306" i="2"/>
  <c r="H306" i="2"/>
  <c r="G306" i="2"/>
  <c r="I306" i="2" l="1"/>
  <c r="F307" i="2"/>
  <c r="H307" i="2"/>
  <c r="G307" i="2"/>
  <c r="I307" i="2" l="1"/>
  <c r="F308" i="2"/>
  <c r="G308" i="2"/>
  <c r="H308" i="2"/>
  <c r="I308" i="2" l="1"/>
  <c r="F309" i="2"/>
  <c r="H309" i="2"/>
  <c r="G309" i="2"/>
  <c r="I309" i="2" l="1"/>
  <c r="F310" i="2"/>
  <c r="H310" i="2"/>
  <c r="G310" i="2"/>
  <c r="I310" i="2" l="1"/>
  <c r="F311" i="2"/>
  <c r="H311" i="2"/>
  <c r="G311" i="2"/>
  <c r="I311" i="2" l="1"/>
  <c r="F312" i="2"/>
  <c r="H312" i="2"/>
  <c r="G312" i="2"/>
  <c r="I312" i="2" l="1"/>
  <c r="F313" i="2"/>
  <c r="H313" i="2"/>
  <c r="G313" i="2"/>
  <c r="I313" i="2" l="1"/>
  <c r="F314" i="2"/>
  <c r="H314" i="2"/>
  <c r="G314" i="2"/>
  <c r="I314" i="2" l="1"/>
  <c r="F315" i="2"/>
  <c r="G315" i="2"/>
  <c r="H315" i="2"/>
  <c r="I315" i="2" l="1"/>
  <c r="F316" i="2"/>
  <c r="H316" i="2"/>
  <c r="G316" i="2"/>
  <c r="I316" i="2" l="1"/>
  <c r="F317" i="2"/>
  <c r="G317" i="2"/>
  <c r="H317" i="2"/>
  <c r="I317" i="2" l="1"/>
  <c r="F318" i="2"/>
  <c r="H318" i="2"/>
  <c r="G318" i="2"/>
  <c r="I318" i="2" l="1"/>
  <c r="F319" i="2"/>
  <c r="H319" i="2"/>
  <c r="G319" i="2"/>
  <c r="I319" i="2" l="1"/>
  <c r="F320" i="2"/>
  <c r="H320" i="2"/>
  <c r="G320" i="2"/>
  <c r="I320" i="2" l="1"/>
  <c r="F321" i="2"/>
  <c r="G321" i="2"/>
  <c r="H321" i="2"/>
  <c r="I321" i="2" l="1"/>
  <c r="F322" i="2"/>
  <c r="H322" i="2"/>
  <c r="G322" i="2"/>
  <c r="I322" i="2" l="1"/>
  <c r="F323" i="2"/>
  <c r="H323" i="2"/>
  <c r="G323" i="2"/>
  <c r="I323" i="2" l="1"/>
  <c r="F324" i="2"/>
  <c r="G324" i="2"/>
  <c r="H324" i="2"/>
  <c r="I324" i="2" l="1"/>
  <c r="F325" i="2"/>
  <c r="G325" i="2"/>
  <c r="H325" i="2"/>
  <c r="I325" i="2" l="1"/>
  <c r="F326" i="2"/>
  <c r="G326" i="2"/>
  <c r="H326" i="2"/>
  <c r="I326" i="2" l="1"/>
  <c r="F327" i="2"/>
  <c r="G327" i="2"/>
  <c r="H327" i="2"/>
  <c r="I327" i="2" l="1"/>
  <c r="F2" i="2" s="1" a="1"/>
  <c r="F2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<sst xmlns="http://schemas.openxmlformats.org/spreadsheetml/2006/main" count="45" uniqueCount="43">
  <si>
    <t>#</t>
  </si>
  <si>
    <t>Cost Item</t>
  </si>
  <si>
    <t>Centre Lathe</t>
  </si>
  <si>
    <t>Batches</t>
  </si>
  <si>
    <t>CNC Turning Centre</t>
  </si>
  <si>
    <t>Remarks</t>
  </si>
  <si>
    <t>Fixed Cost (per batch)</t>
  </si>
  <si>
    <t>Setup labour</t>
  </si>
  <si>
    <t>Tooling</t>
  </si>
  <si>
    <t>Setup overhead</t>
  </si>
  <si>
    <t>Programming</t>
  </si>
  <si>
    <t>CAPEX Total GBP (£)</t>
  </si>
  <si>
    <t>Lathe</t>
  </si>
  <si>
    <t>Parts per Batch</t>
  </si>
  <si>
    <t>CNC</t>
  </si>
  <si>
    <t>Running cost (per part)</t>
  </si>
  <si>
    <t>Labour</t>
  </si>
  <si>
    <t xml:space="preserve">Machine overhead </t>
  </si>
  <si>
    <t>"=IF(F6&gt;1,F6-$E$5,0)"</t>
  </si>
  <si>
    <t>"=IF(F6&gt;1, ($C$5)*(Breakeven_Point_Calc.!$F$10+(Breakeven_Point_Calc.!$F$17*F7)), "")"</t>
  </si>
  <si>
    <t>"=IF(F6&gt;1, ($C$5)*(Breakeven_Point_Calc.!$D$10+(Breakeven_Point_Calc.!$D$17*F7)), "")"</t>
  </si>
  <si>
    <t>"=IF(I6&lt;0, G7-H7, "")"</t>
  </si>
  <si>
    <t>Graph Generation Data Table</t>
  </si>
  <si>
    <t>Variables</t>
  </si>
  <si>
    <t># of
 Batches</t>
  </si>
  <si>
    <t>Graph Points
 Interval</t>
  </si>
  <si>
    <t>Parts/Batch</t>
  </si>
  <si>
    <t>Total CNC
(£)</t>
  </si>
  <si>
    <t>Total lathe
(£)</t>
  </si>
  <si>
    <t>Breakeven Point</t>
  </si>
  <si>
    <t>Enter the values</t>
  </si>
  <si>
    <t>Target
# of Parts</t>
  </si>
  <si>
    <t>q=XLOOKUP("*" &amp; A &amp; "*", DataSheet!A:A, DataSheet!B:B, "Not Found", 2)</t>
  </si>
  <si>
    <t>q=VLOOKUP("*" &amp; A2 &amp; "*", $C$2:$D$10, 2, FALSE)</t>
  </si>
  <si>
    <t>Break Even Point (Parts Per Batch)</t>
  </si>
  <si>
    <t>OPEX Total GBP (£) per part</t>
  </si>
  <si>
    <t>OPEX Total GBP (£) per batch</t>
  </si>
  <si>
    <t>Total Cost (CAPEX &amp; OPEX) (£)
per total batches</t>
  </si>
  <si>
    <t>When F19/D19 =1 , Break Even Point.
When F19/D19 &gt; 1, CNC cost is higher.
When F19/D19 &lt; 1, CNC cost is lower.</t>
  </si>
  <si>
    <t>CNC to Lathe Cost Ratio (%)</t>
  </si>
  <si>
    <t>Qty. = 1</t>
  </si>
  <si>
    <t>Qty. = 70</t>
  </si>
  <si>
    <t>Break Even Point "CNC Turning" vs "Centre Lathe"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</si>
</sst>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?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43" fontId="0" fillId="0" borderId="1" xfId="0" applyNumberFormat="1" applyBorder="1"/>
    <xf numFmtId="43" fontId="0" fillId="3" borderId="1" xfId="0" applyNumberFormat="1" applyFill="1" applyBorder="1"/>
    <xf numFmtId="43" fontId="0" fillId="0" borderId="0" xfId="0" applyNumberForma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43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3" fillId="6" borderId="4" xfId="0" applyFont="1" applyFill="1" applyBorder="1"/>
    <xf numFmtId="0" fontId="3" fillId="6" borderId="3" xfId="0" applyFont="1" applyFill="1" applyBorder="1"/>
    <xf numFmtId="0" fontId="0" fillId="8" borderId="1" xfId="0" applyFill="1" applyBorder="1"/>
    <xf numFmtId="43" fontId="0" fillId="8" borderId="1" xfId="0" applyNumberFormat="1" applyFill="1" applyBorder="1"/>
    <xf numFmtId="43" fontId="0" fillId="7" borderId="1" xfId="0" applyNumberFormat="1" applyFill="1" applyBorder="1"/>
    <xf numFmtId="41" fontId="0" fillId="0" borderId="0" xfId="0" applyNumberFormat="1"/>
    <xf numFmtId="41" fontId="3" fillId="6" borderId="4" xfId="0" applyNumberFormat="1" applyFont="1" applyFill="1" applyBorder="1"/>
    <xf numFmtId="41" fontId="1" fillId="2" borderId="1" xfId="0" applyNumberFormat="1" applyFont="1" applyFill="1" applyBorder="1" applyAlignment="1">
      <alignment horizontal="center" vertical="center" wrapText="1"/>
    </xf>
    <xf numFmtId="41" fontId="1" fillId="7" borderId="1" xfId="0" applyNumberFormat="1" applyFont="1" applyFill="1" applyBorder="1"/>
    <xf numFmtId="0" fontId="1" fillId="7" borderId="1" xfId="0" applyFont="1" applyFill="1" applyBorder="1" applyAlignment="1">
      <alignment horizontal="center" vertical="center"/>
    </xf>
    <xf numFmtId="41" fontId="1" fillId="7" borderId="1" xfId="0" applyNumberFormat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1" fontId="0" fillId="8" borderId="1" xfId="0" applyNumberFormat="1" applyFill="1" applyBorder="1"/>
    <xf numFmtId="0" fontId="4" fillId="0" borderId="1" xfId="0" applyFont="1" applyBorder="1"/>
    <xf numFmtId="0" fontId="5" fillId="0" borderId="1" xfId="0" applyFont="1" applyBorder="1" applyAlignment="1">
      <alignment vertical="center"/>
    </xf>
    <xf numFmtId="41" fontId="0" fillId="4" borderId="1" xfId="0" applyNumberFormat="1" applyFill="1" applyBorder="1"/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164" fontId="1" fillId="4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2" fillId="8" borderId="3" xfId="0" applyFont="1" applyFill="1" applyBorder="1" applyAlignment="1"/>
    <xf numFmtId="0" fontId="0" fillId="9" borderId="1" xfId="0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43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CNC</c:v>
          </c:tx>
          <c:marker>
            <c:symbol val="none"/>
          </c:marker>
          <c:cat>
            <c:numRef>
              <c:f>BP_Graph!$F$6:$F$75</c:f>
              <c:numCache>
                <c:formatCode>_(* #,##0_);_(* \(#,##0\);_(* "-"_);_(@_)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BP_Graph!$G$6:$G$75</c:f>
              <c:numCache>
                <c:formatCode>_(* #,##0.00_);_(* \(#,##0.00\);_(* "-"??_);_(@_)</c:formatCode>
                <c:ptCount val="70"/>
                <c:pt idx="0">
                  <c:v>422.50700000000001</c:v>
                </c:pt>
                <c:pt idx="1">
                  <c:v>431.01400000000001</c:v>
                </c:pt>
                <c:pt idx="2">
                  <c:v>439.52100000000002</c:v>
                </c:pt>
                <c:pt idx="3">
                  <c:v>448.02800000000002</c:v>
                </c:pt>
                <c:pt idx="4">
                  <c:v>456.53499999999997</c:v>
                </c:pt>
                <c:pt idx="5">
                  <c:v>465.04200000000003</c:v>
                </c:pt>
                <c:pt idx="6">
                  <c:v>473.54899999999998</c:v>
                </c:pt>
                <c:pt idx="7">
                  <c:v>482.05599999999998</c:v>
                </c:pt>
                <c:pt idx="8">
                  <c:v>490.56299999999999</c:v>
                </c:pt>
                <c:pt idx="9">
                  <c:v>499.07</c:v>
                </c:pt>
                <c:pt idx="10">
                  <c:v>507.577</c:v>
                </c:pt>
                <c:pt idx="11">
                  <c:v>516.08400000000006</c:v>
                </c:pt>
                <c:pt idx="12">
                  <c:v>524.59100000000001</c:v>
                </c:pt>
                <c:pt idx="13">
                  <c:v>533.09799999999996</c:v>
                </c:pt>
                <c:pt idx="14">
                  <c:v>541.60500000000002</c:v>
                </c:pt>
                <c:pt idx="15">
                  <c:v>550.11199999999997</c:v>
                </c:pt>
                <c:pt idx="16">
                  <c:v>558.61900000000003</c:v>
                </c:pt>
                <c:pt idx="17">
                  <c:v>567.12599999999998</c:v>
                </c:pt>
                <c:pt idx="18">
                  <c:v>575.63300000000004</c:v>
                </c:pt>
                <c:pt idx="19">
                  <c:v>584.14</c:v>
                </c:pt>
                <c:pt idx="20">
                  <c:v>592.64699999999993</c:v>
                </c:pt>
                <c:pt idx="21">
                  <c:v>601.154</c:v>
                </c:pt>
                <c:pt idx="22">
                  <c:v>609.66100000000006</c:v>
                </c:pt>
                <c:pt idx="23">
                  <c:v>618.16800000000001</c:v>
                </c:pt>
                <c:pt idx="24">
                  <c:v>626.67499999999995</c:v>
                </c:pt>
                <c:pt idx="25">
                  <c:v>635.18200000000002</c:v>
                </c:pt>
                <c:pt idx="26">
                  <c:v>643.68899999999996</c:v>
                </c:pt>
                <c:pt idx="27">
                  <c:v>652.19600000000003</c:v>
                </c:pt>
                <c:pt idx="28">
                  <c:v>660.70299999999997</c:v>
                </c:pt>
                <c:pt idx="29">
                  <c:v>669.21</c:v>
                </c:pt>
                <c:pt idx="30">
                  <c:v>677.71699999999998</c:v>
                </c:pt>
                <c:pt idx="31">
                  <c:v>686.22399999999993</c:v>
                </c:pt>
                <c:pt idx="32">
                  <c:v>694.73099999999999</c:v>
                </c:pt>
                <c:pt idx="33">
                  <c:v>703.23800000000006</c:v>
                </c:pt>
                <c:pt idx="34">
                  <c:v>711.745</c:v>
                </c:pt>
                <c:pt idx="35">
                  <c:v>720.25199999999995</c:v>
                </c:pt>
                <c:pt idx="36">
                  <c:v>728.75900000000001</c:v>
                </c:pt>
                <c:pt idx="37">
                  <c:v>737.26599999999996</c:v>
                </c:pt>
                <c:pt idx="38">
                  <c:v>745.77299999999991</c:v>
                </c:pt>
                <c:pt idx="39">
                  <c:v>754.28</c:v>
                </c:pt>
                <c:pt idx="40">
                  <c:v>762.78700000000003</c:v>
                </c:pt>
                <c:pt idx="41">
                  <c:v>771.29399999999998</c:v>
                </c:pt>
                <c:pt idx="42">
                  <c:v>779.80099999999993</c:v>
                </c:pt>
                <c:pt idx="43">
                  <c:v>788.30799999999999</c:v>
                </c:pt>
                <c:pt idx="44">
                  <c:v>796.81500000000005</c:v>
                </c:pt>
                <c:pt idx="45">
                  <c:v>805.322</c:v>
                </c:pt>
                <c:pt idx="46">
                  <c:v>813.82899999999995</c:v>
                </c:pt>
                <c:pt idx="47">
                  <c:v>822.33600000000001</c:v>
                </c:pt>
                <c:pt idx="48">
                  <c:v>830.84299999999996</c:v>
                </c:pt>
                <c:pt idx="49">
                  <c:v>839.34999999999991</c:v>
                </c:pt>
                <c:pt idx="50">
                  <c:v>847.85699999999997</c:v>
                </c:pt>
                <c:pt idx="51">
                  <c:v>856.36400000000003</c:v>
                </c:pt>
                <c:pt idx="52">
                  <c:v>864.87099999999998</c:v>
                </c:pt>
                <c:pt idx="53">
                  <c:v>873.37799999999993</c:v>
                </c:pt>
                <c:pt idx="54">
                  <c:v>881.88499999999999</c:v>
                </c:pt>
                <c:pt idx="55">
                  <c:v>890.39200000000005</c:v>
                </c:pt>
                <c:pt idx="56">
                  <c:v>898.899</c:v>
                </c:pt>
                <c:pt idx="57">
                  <c:v>907.40599999999995</c:v>
                </c:pt>
                <c:pt idx="58">
                  <c:v>915.91300000000001</c:v>
                </c:pt>
                <c:pt idx="59">
                  <c:v>924.42</c:v>
                </c:pt>
                <c:pt idx="60">
                  <c:v>932.92700000000002</c:v>
                </c:pt>
                <c:pt idx="61">
                  <c:v>941.43399999999997</c:v>
                </c:pt>
                <c:pt idx="62">
                  <c:v>949.94100000000003</c:v>
                </c:pt>
                <c:pt idx="63">
                  <c:v>958.44799999999998</c:v>
                </c:pt>
                <c:pt idx="64">
                  <c:v>966.95499999999993</c:v>
                </c:pt>
                <c:pt idx="65">
                  <c:v>975.46199999999999</c:v>
                </c:pt>
                <c:pt idx="66">
                  <c:v>983.96899999999994</c:v>
                </c:pt>
                <c:pt idx="67">
                  <c:v>992.476</c:v>
                </c:pt>
                <c:pt idx="68">
                  <c:v>1000.9829999999999</c:v>
                </c:pt>
                <c:pt idx="69">
                  <c:v>1009.49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FE-4A9E-A876-DDC14572645B}"/>
            </c:ext>
          </c:extLst>
        </c:ser>
        <c:ser>
          <c:idx val="1"/>
          <c:order val="1"/>
          <c:tx>
            <c:v>Lathe</c:v>
          </c:tx>
          <c:marker>
            <c:symbol val="none"/>
          </c:marker>
          <c:cat>
            <c:numRef>
              <c:f>BP_Graph!$F$6:$F$75</c:f>
              <c:numCache>
                <c:formatCode>_(* #,##0_);_(* \(#,##0\);_(* "-"_);_(@_)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BP_Graph!$H$6:$H$75</c:f>
              <c:numCache>
                <c:formatCode>_(* #,##0.00_);_(* \(#,##0.00\);_(* "-"??_);_(@_)</c:formatCode>
                <c:ptCount val="70"/>
                <c:pt idx="0">
                  <c:v>72.375</c:v>
                </c:pt>
                <c:pt idx="1">
                  <c:v>86.5</c:v>
                </c:pt>
                <c:pt idx="2">
                  <c:v>100.625</c:v>
                </c:pt>
                <c:pt idx="3">
                  <c:v>114.75</c:v>
                </c:pt>
                <c:pt idx="4">
                  <c:v>128.875</c:v>
                </c:pt>
                <c:pt idx="5">
                  <c:v>143</c:v>
                </c:pt>
                <c:pt idx="6">
                  <c:v>157.125</c:v>
                </c:pt>
                <c:pt idx="7">
                  <c:v>171.25</c:v>
                </c:pt>
                <c:pt idx="8">
                  <c:v>185.375</c:v>
                </c:pt>
                <c:pt idx="9">
                  <c:v>199.5</c:v>
                </c:pt>
                <c:pt idx="10">
                  <c:v>213.625</c:v>
                </c:pt>
                <c:pt idx="11">
                  <c:v>227.75</c:v>
                </c:pt>
                <c:pt idx="12">
                  <c:v>241.875</c:v>
                </c:pt>
                <c:pt idx="13">
                  <c:v>256</c:v>
                </c:pt>
                <c:pt idx="14">
                  <c:v>270.125</c:v>
                </c:pt>
                <c:pt idx="15">
                  <c:v>284.25</c:v>
                </c:pt>
                <c:pt idx="16">
                  <c:v>298.375</c:v>
                </c:pt>
                <c:pt idx="17">
                  <c:v>312.5</c:v>
                </c:pt>
                <c:pt idx="18">
                  <c:v>326.625</c:v>
                </c:pt>
                <c:pt idx="19">
                  <c:v>340.75</c:v>
                </c:pt>
                <c:pt idx="20">
                  <c:v>354.875</c:v>
                </c:pt>
                <c:pt idx="21">
                  <c:v>369</c:v>
                </c:pt>
                <c:pt idx="22">
                  <c:v>383.125</c:v>
                </c:pt>
                <c:pt idx="23">
                  <c:v>397.25</c:v>
                </c:pt>
                <c:pt idx="24">
                  <c:v>411.375</c:v>
                </c:pt>
                <c:pt idx="25">
                  <c:v>425.5</c:v>
                </c:pt>
                <c:pt idx="26">
                  <c:v>439.625</c:v>
                </c:pt>
                <c:pt idx="27">
                  <c:v>453.75</c:v>
                </c:pt>
                <c:pt idx="28">
                  <c:v>467.875</c:v>
                </c:pt>
                <c:pt idx="29">
                  <c:v>482</c:v>
                </c:pt>
                <c:pt idx="30">
                  <c:v>496.125</c:v>
                </c:pt>
                <c:pt idx="31">
                  <c:v>510.25</c:v>
                </c:pt>
                <c:pt idx="32">
                  <c:v>524.375</c:v>
                </c:pt>
                <c:pt idx="33">
                  <c:v>538.5</c:v>
                </c:pt>
                <c:pt idx="34">
                  <c:v>552.625</c:v>
                </c:pt>
                <c:pt idx="35">
                  <c:v>566.75</c:v>
                </c:pt>
                <c:pt idx="36">
                  <c:v>580.875</c:v>
                </c:pt>
                <c:pt idx="37">
                  <c:v>595</c:v>
                </c:pt>
                <c:pt idx="38">
                  <c:v>609.125</c:v>
                </c:pt>
                <c:pt idx="39">
                  <c:v>623.25</c:v>
                </c:pt>
                <c:pt idx="40">
                  <c:v>637.375</c:v>
                </c:pt>
                <c:pt idx="41">
                  <c:v>651.5</c:v>
                </c:pt>
                <c:pt idx="42">
                  <c:v>665.625</c:v>
                </c:pt>
                <c:pt idx="43">
                  <c:v>679.75</c:v>
                </c:pt>
                <c:pt idx="44">
                  <c:v>693.875</c:v>
                </c:pt>
                <c:pt idx="45">
                  <c:v>708</c:v>
                </c:pt>
                <c:pt idx="46">
                  <c:v>722.125</c:v>
                </c:pt>
                <c:pt idx="47">
                  <c:v>736.25</c:v>
                </c:pt>
                <c:pt idx="48">
                  <c:v>750.375</c:v>
                </c:pt>
                <c:pt idx="49">
                  <c:v>764.5</c:v>
                </c:pt>
                <c:pt idx="50">
                  <c:v>778.625</c:v>
                </c:pt>
                <c:pt idx="51">
                  <c:v>792.75</c:v>
                </c:pt>
                <c:pt idx="52">
                  <c:v>806.875</c:v>
                </c:pt>
                <c:pt idx="53">
                  <c:v>821</c:v>
                </c:pt>
                <c:pt idx="54">
                  <c:v>835.125</c:v>
                </c:pt>
                <c:pt idx="55">
                  <c:v>849.25</c:v>
                </c:pt>
                <c:pt idx="56">
                  <c:v>863.375</c:v>
                </c:pt>
                <c:pt idx="57">
                  <c:v>877.5</c:v>
                </c:pt>
                <c:pt idx="58">
                  <c:v>891.625</c:v>
                </c:pt>
                <c:pt idx="59">
                  <c:v>905.75</c:v>
                </c:pt>
                <c:pt idx="60">
                  <c:v>919.875</c:v>
                </c:pt>
                <c:pt idx="61">
                  <c:v>934</c:v>
                </c:pt>
                <c:pt idx="62">
                  <c:v>948.125</c:v>
                </c:pt>
                <c:pt idx="63">
                  <c:v>962.25</c:v>
                </c:pt>
                <c:pt idx="64">
                  <c:v>976.375</c:v>
                </c:pt>
                <c:pt idx="65">
                  <c:v>990.5</c:v>
                </c:pt>
                <c:pt idx="66">
                  <c:v>1004.625</c:v>
                </c:pt>
                <c:pt idx="67">
                  <c:v>1018.75</c:v>
                </c:pt>
                <c:pt idx="68">
                  <c:v>1032.875</c:v>
                </c:pt>
                <c:pt idx="69">
                  <c:v>1047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FE-4A9E-A876-DDC145726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0544"/>
        <c:axId val="223510528"/>
      </c:lineChart>
      <c:catAx>
        <c:axId val="223500544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_(* #,##0_);_(* \(#,##0\);_(* &quot;-&quot;_);_(@_)" sourceLinked="1"/>
        <c:majorTickMark val="out"/>
        <c:minorTickMark val="none"/>
        <c:tickLblPos val="nextTo"/>
        <c:crossAx val="223510528"/>
        <c:crosses val="autoZero"/>
        <c:auto val="1"/>
        <c:lblAlgn val="ctr"/>
        <c:lblOffset val="100"/>
        <c:noMultiLvlLbl val="0"/>
      </c:catAx>
      <c:valAx>
        <c:axId val="22351052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2350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222885</xdr:colOff>
      <xdr:row>2</xdr:row>
      <xdr:rowOff>188595</xdr:rowOff>
    </xdr:from>
    <xdr:to>
      <xdr:col>21</xdr:col>
      <xdr:colOff>404812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22"/>
  <sheetViews>
    <sheetView tabSelected="1" workbookViewId="0">
      <selection activeCell="E19" sqref="E19"/>
    </sheetView>
  </sheetViews>
  <sheetFormatPr defaultRowHeight="14.4" x14ac:dyDescent="0.3"/>
  <cols>
    <col min="2" max="2" width="1.77734375" bestFit="1" customWidth="1"/>
    <col min="3" max="3" width="31.5546875" bestFit="1" customWidth="1"/>
    <col min="4" max="4" width="11.21875" style="37" bestFit="1" customWidth="1"/>
    <col min="5" max="5" width="13.44140625" style="37" bestFit="1" customWidth="1"/>
    <col min="6" max="6" width="17.21875" style="37" bestFit="1" customWidth="1"/>
    <col min="7" max="7" width="23.88671875" style="6" bestFit="1" customWidth="1"/>
    <col min="8" max="8" width="34.5546875" customWidth="1"/>
  </cols>
  <sheetData>
    <row r="2" spans="2:8" ht="25.8" x14ac:dyDescent="0.5">
      <c r="C2" s="51" t="s">
        <v>42</v>
      </c>
      <c r="D2" s="51"/>
      <c r="E2" s="51"/>
      <c r="F2" s="51"/>
      <c r="G2" s="51"/>
    </row>
    <row r="3" spans="2:8" s="3" customFormat="1" x14ac:dyDescent="0.3">
      <c r="B3" s="8" t="s">
        <v>0</v>
      </c>
      <c r="C3" s="8" t="s">
        <v>1</v>
      </c>
      <c r="D3" s="34" t="s">
        <v>2</v>
      </c>
      <c r="E3" s="34" t="s">
        <v>3</v>
      </c>
      <c r="F3" s="34" t="s">
        <v>4</v>
      </c>
      <c r="G3" s="9" t="s">
        <v>39</v>
      </c>
      <c r="H3" s="8" t="s">
        <v>5</v>
      </c>
    </row>
    <row r="4" spans="2:8" x14ac:dyDescent="0.3">
      <c r="B4" s="10"/>
      <c r="C4" s="10" t="s">
        <v>6</v>
      </c>
      <c r="D4" s="34"/>
      <c r="E4" s="43">
        <v>1</v>
      </c>
      <c r="F4" s="34"/>
      <c r="G4" s="11"/>
      <c r="H4" s="10"/>
    </row>
    <row r="5" spans="2:8" x14ac:dyDescent="0.3">
      <c r="B5" s="1">
        <v>1</v>
      </c>
      <c r="C5" s="1" t="s">
        <v>7</v>
      </c>
      <c r="D5" s="35">
        <v>3.25</v>
      </c>
      <c r="E5" s="35"/>
      <c r="F5" s="35">
        <v>6.5</v>
      </c>
      <c r="G5" s="4"/>
      <c r="H5" s="1"/>
    </row>
    <row r="6" spans="2:8" x14ac:dyDescent="0.3">
      <c r="B6" s="1">
        <f>B5+1</f>
        <v>2</v>
      </c>
      <c r="C6" s="1" t="s">
        <v>8</v>
      </c>
      <c r="D6" s="35">
        <v>30</v>
      </c>
      <c r="E6" s="35"/>
      <c r="F6" s="35">
        <v>150</v>
      </c>
      <c r="G6" s="4"/>
      <c r="H6" s="1"/>
    </row>
    <row r="7" spans="2:8" x14ac:dyDescent="0.3">
      <c r="B7" s="1">
        <f t="shared" ref="B7:B15" si="0">B6+1</f>
        <v>3</v>
      </c>
      <c r="C7" s="1" t="s">
        <v>9</v>
      </c>
      <c r="D7" s="35">
        <v>25</v>
      </c>
      <c r="E7" s="35"/>
      <c r="F7" s="35">
        <v>250</v>
      </c>
      <c r="G7" s="4"/>
      <c r="H7" s="1"/>
    </row>
    <row r="8" spans="2:8" x14ac:dyDescent="0.3">
      <c r="B8" s="1">
        <f t="shared" si="0"/>
        <v>4</v>
      </c>
      <c r="C8" s="1" t="s">
        <v>10</v>
      </c>
      <c r="D8" s="35">
        <v>0</v>
      </c>
      <c r="E8" s="35"/>
      <c r="F8" s="35">
        <v>7.5</v>
      </c>
      <c r="G8" s="4"/>
      <c r="H8" s="1"/>
    </row>
    <row r="9" spans="2:8" x14ac:dyDescent="0.3">
      <c r="B9" s="1"/>
      <c r="C9" s="1"/>
      <c r="D9" s="35"/>
      <c r="E9" s="35"/>
      <c r="F9" s="35"/>
      <c r="G9" s="4"/>
      <c r="H9" s="1"/>
    </row>
    <row r="10" spans="2:8" x14ac:dyDescent="0.3">
      <c r="B10" s="42"/>
      <c r="C10" s="42" t="s">
        <v>11</v>
      </c>
      <c r="D10" s="41">
        <f>SUM(D5:D8)</f>
        <v>58.25</v>
      </c>
      <c r="E10" s="41"/>
      <c r="F10" s="41">
        <f>SUM(F5:F8)</f>
        <v>414</v>
      </c>
      <c r="G10" s="2">
        <f>(F10/D10)*100</f>
        <v>710.72961373390558</v>
      </c>
      <c r="H10" s="16"/>
    </row>
    <row r="11" spans="2:8" x14ac:dyDescent="0.3">
      <c r="B11" s="1"/>
      <c r="C11" s="1"/>
      <c r="D11" s="35"/>
      <c r="E11" s="35"/>
      <c r="F11" s="35"/>
      <c r="G11" s="4"/>
      <c r="H11" s="1"/>
    </row>
    <row r="12" spans="2:8" s="3" customFormat="1" x14ac:dyDescent="0.3">
      <c r="B12" s="8"/>
      <c r="C12" s="8" t="s">
        <v>1</v>
      </c>
      <c r="D12" s="34" t="s">
        <v>12</v>
      </c>
      <c r="E12" s="34" t="s">
        <v>13</v>
      </c>
      <c r="F12" s="34" t="s">
        <v>14</v>
      </c>
      <c r="G12" s="9"/>
      <c r="H12" s="8" t="s">
        <v>5</v>
      </c>
    </row>
    <row r="13" spans="2:8" s="3" customFormat="1" x14ac:dyDescent="0.3">
      <c r="B13" s="8"/>
      <c r="C13" s="8" t="s">
        <v>15</v>
      </c>
      <c r="D13" s="34"/>
      <c r="E13" s="43">
        <v>70</v>
      </c>
      <c r="F13" s="34"/>
      <c r="G13" s="9"/>
      <c r="H13" s="8"/>
    </row>
    <row r="14" spans="2:8" x14ac:dyDescent="0.3">
      <c r="B14" s="1">
        <f t="shared" si="0"/>
        <v>1</v>
      </c>
      <c r="C14" s="1" t="s">
        <v>16</v>
      </c>
      <c r="D14" s="35">
        <v>1.625</v>
      </c>
      <c r="E14" s="35"/>
      <c r="F14" s="35">
        <v>0.16700000000000001</v>
      </c>
      <c r="G14" s="4"/>
      <c r="H14" s="1"/>
    </row>
    <row r="15" spans="2:8" x14ac:dyDescent="0.3">
      <c r="B15" s="1">
        <f t="shared" si="0"/>
        <v>2</v>
      </c>
      <c r="C15" s="1" t="s">
        <v>17</v>
      </c>
      <c r="D15" s="35">
        <v>12.5</v>
      </c>
      <c r="E15" s="35"/>
      <c r="F15" s="35">
        <v>8.34</v>
      </c>
      <c r="G15" s="4"/>
      <c r="H15" s="1"/>
    </row>
    <row r="16" spans="2:8" x14ac:dyDescent="0.3">
      <c r="B16" s="1"/>
      <c r="C16" s="1"/>
      <c r="D16" s="35"/>
      <c r="E16" s="35"/>
      <c r="F16" s="35"/>
      <c r="G16" s="4"/>
      <c r="H16" s="1"/>
    </row>
    <row r="17" spans="2:8" x14ac:dyDescent="0.3">
      <c r="B17" s="2"/>
      <c r="C17" s="2" t="s">
        <v>35</v>
      </c>
      <c r="D17" s="36">
        <f>SUM(D14:D15)</f>
        <v>14.125</v>
      </c>
      <c r="E17" s="36"/>
      <c r="F17" s="36">
        <f>SUM(F14:F15)</f>
        <v>8.5069999999999997</v>
      </c>
      <c r="G17" s="5">
        <f>(F17/D17)*100</f>
        <v>60.226548672566373</v>
      </c>
      <c r="H17" s="16" t="s">
        <v>40</v>
      </c>
    </row>
    <row r="18" spans="2:8" x14ac:dyDescent="0.3">
      <c r="B18" s="42"/>
      <c r="C18" s="42" t="s">
        <v>36</v>
      </c>
      <c r="D18" s="41">
        <f>D17*$E$13</f>
        <v>988.75</v>
      </c>
      <c r="E18" s="41"/>
      <c r="F18" s="41">
        <f>F17*$E$13</f>
        <v>595.49</v>
      </c>
      <c r="G18" s="5">
        <f>(F18/D18)*100</f>
        <v>60.226548672566373</v>
      </c>
      <c r="H18" s="16" t="s">
        <v>41</v>
      </c>
    </row>
    <row r="19" spans="2:8" s="3" customFormat="1" ht="28.8" x14ac:dyDescent="0.3">
      <c r="B19" s="7"/>
      <c r="C19" s="38" t="s">
        <v>37</v>
      </c>
      <c r="D19" s="39">
        <f>$E$4*(D10+D18)</f>
        <v>1047</v>
      </c>
      <c r="E19" s="52">
        <f>(F10-D10)/(D17-F17)</f>
        <v>63.323246707013169</v>
      </c>
      <c r="F19" s="44">
        <f>$E$4*(F10+F18)</f>
        <v>1009.49</v>
      </c>
      <c r="G19" s="40">
        <f>(F19/D19)*100</f>
        <v>96.417382999044889</v>
      </c>
      <c r="H19" s="45"/>
    </row>
    <row r="20" spans="2:8" x14ac:dyDescent="0.3">
      <c r="B20" s="1"/>
      <c r="C20" s="1"/>
      <c r="D20" s="35"/>
      <c r="E20" s="35"/>
      <c r="F20" s="35"/>
      <c r="G20" s="4"/>
      <c r="H20" s="16"/>
    </row>
    <row r="21" spans="2:8" ht="43.2" x14ac:dyDescent="0.3">
      <c r="B21" s="1"/>
      <c r="C21" s="49" t="s">
        <v>34</v>
      </c>
      <c r="D21" s="47"/>
      <c r="E21" s="50">
        <f>ROUNDUP($E$19,0)</f>
        <v>64</v>
      </c>
      <c r="F21" s="46"/>
      <c r="G21" s="17"/>
      <c r="H21" s="48" t="s">
        <v>38</v>
      </c>
    </row>
    <row r="22" spans="2:8" x14ac:dyDescent="0.3">
      <c r="B22" s="1"/>
      <c r="C22" s="1"/>
      <c r="D22" s="35"/>
      <c r="E22" s="35"/>
      <c r="F22" s="35"/>
      <c r="G22" s="4"/>
      <c r="H22" s="1"/>
    </row>
  </sheetData>
  <mergeCells count="1">
    <mergeCell ref="C2:G2"/>
  </mergeCells>
  <pageMargins left="0.7" right="0.7" top="0.75" bottom="0.75" header="0.3" footer="0.3"/>
  <pageSetup orientation="portrait" r:id="rId1"/>
  <ignoredErrors>
    <ignoredError sqref="E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O327"/>
  <sheetViews>
    <sheetView zoomScale="70" zoomScaleNormal="70" workbookViewId="0">
      <selection activeCell="F2" sqref="F2"/>
    </sheetView>
  </sheetViews>
  <sheetFormatPr defaultRowHeight="14.4" x14ac:dyDescent="0.3"/>
  <cols>
    <col min="1" max="1" width="5.77734375" customWidth="1"/>
    <col min="2" max="2" width="17.5546875" bestFit="1" customWidth="1"/>
    <col min="3" max="3" width="8" bestFit="1" customWidth="1"/>
    <col min="4" max="4" width="8" customWidth="1"/>
    <col min="5" max="5" width="15.5546875" customWidth="1"/>
    <col min="6" max="6" width="11.21875" style="19" bestFit="1" customWidth="1"/>
    <col min="7" max="7" width="10.21875" bestFit="1" customWidth="1"/>
    <col min="8" max="8" width="9.77734375" bestFit="1" customWidth="1"/>
    <col min="9" max="9" width="24.6640625" customWidth="1"/>
    <col min="10" max="10" width="4.44140625" customWidth="1"/>
    <col min="11" max="11" width="3.77734375" customWidth="1"/>
    <col min="12" max="12" width="17.77734375" bestFit="1" customWidth="1"/>
    <col min="14" max="14" width="9.21875" customWidth="1"/>
    <col min="15" max="15" width="18.21875" bestFit="1" customWidth="1"/>
  </cols>
  <sheetData>
    <row r="2" spans="2:15" ht="24.6" customHeight="1" x14ac:dyDescent="0.3">
      <c r="E2" s="30" t="s">
        <v>33</v>
      </c>
      <c r="F2" s="31" t="str" cm="1">
        <f t="array" aca="1" ref="F2" ca="1">CELL("address", INDEX(I6:I327, MATCH("*Breakeven*", I6:I327, 0)))</f>
        <v>$I$69</v>
      </c>
      <c r="I2" s="29" t="s">
        <v>32</v>
      </c>
      <c r="L2" s="25" t="s">
        <v>18</v>
      </c>
      <c r="M2" s="26" t="s">
        <v>19</v>
      </c>
      <c r="N2" s="26" t="s">
        <v>20</v>
      </c>
      <c r="O2" s="27" t="s">
        <v>21</v>
      </c>
    </row>
    <row r="3" spans="2:15" ht="25.8" x14ac:dyDescent="0.5">
      <c r="B3" s="32" t="s">
        <v>22</v>
      </c>
      <c r="C3" s="33"/>
      <c r="D3" s="33"/>
      <c r="E3" s="33"/>
      <c r="F3" s="20"/>
      <c r="G3" s="14"/>
      <c r="H3" s="14"/>
      <c r="I3" s="15"/>
    </row>
    <row r="4" spans="2:15" ht="43.2" x14ac:dyDescent="0.3">
      <c r="B4" s="8" t="s">
        <v>23</v>
      </c>
      <c r="C4" s="12" t="s">
        <v>24</v>
      </c>
      <c r="D4" s="12" t="s">
        <v>31</v>
      </c>
      <c r="E4" s="12" t="s">
        <v>25</v>
      </c>
      <c r="F4" s="21" t="s">
        <v>26</v>
      </c>
      <c r="G4" s="12" t="s">
        <v>27</v>
      </c>
      <c r="H4" s="12" t="s">
        <v>28</v>
      </c>
      <c r="I4" s="8" t="s">
        <v>29</v>
      </c>
    </row>
    <row r="5" spans="2:15" ht="14.55" customHeight="1" x14ac:dyDescent="0.3">
      <c r="B5" s="13" t="s">
        <v>30</v>
      </c>
      <c r="C5" s="23">
        <v>1</v>
      </c>
      <c r="D5" s="24">
        <v>70</v>
      </c>
      <c r="E5" s="23">
        <v>1</v>
      </c>
      <c r="F5" s="22">
        <v>0</v>
      </c>
      <c r="G5" s="18">
        <v>0</v>
      </c>
      <c r="H5" s="18">
        <v>0</v>
      </c>
      <c r="I5" s="18">
        <v>0</v>
      </c>
    </row>
    <row r="6" spans="2:15" ht="14.55" customHeight="1" x14ac:dyDescent="0.3">
      <c r="B6" s="1"/>
      <c r="C6" s="1"/>
      <c r="D6" s="1"/>
      <c r="E6" s="1"/>
      <c r="F6" s="28">
        <f>IF(F5=$D$5,"",F5+1)</f>
        <v>1</v>
      </c>
      <c r="G6" s="4">
        <f>IF(F5&lt;$D$5, ($C$5)*(Break_Even_Point_Calc.!$F$10+(Break_Even_Point_Calc.!$F$17*F6)), "")</f>
        <v>422.50700000000001</v>
      </c>
      <c r="H6" s="4">
        <f>IF(F5&lt;$D$5, ($C$5)*(Break_Even_Point_Calc.!$D$10+(Break_Even_Point_Calc.!$D$17*F6)), "")</f>
        <v>72.375</v>
      </c>
      <c r="I6" s="17">
        <f>IF(AND(G6-H6&lt;0,G5-H5&gt;0), TEXT(G6-H6,"0.00") &amp; " Breakeven Point", G6-H6)</f>
        <v>350.13200000000001</v>
      </c>
    </row>
    <row r="7" spans="2:15" ht="14.55" customHeight="1" x14ac:dyDescent="0.3">
      <c r="B7" s="1"/>
      <c r="C7" s="1"/>
      <c r="D7" s="1"/>
      <c r="E7" s="1"/>
      <c r="F7" s="28">
        <f t="shared" ref="F7:F70" si="0">IF(F6=$D$5,"",F6+1)</f>
        <v>2</v>
      </c>
      <c r="G7" s="4">
        <f>IF(F6&lt;$D$5, ($C$5)*(Break_Even_Point_Calc.!$F$10+(Break_Even_Point_Calc.!$F$17*F7)), "")</f>
        <v>431.01400000000001</v>
      </c>
      <c r="H7" s="4">
        <f>IF(F6&lt;$D$5, ($C$5)*(Break_Even_Point_Calc.!$D$10+(Break_Even_Point_Calc.!$D$17*F7)), "")</f>
        <v>86.5</v>
      </c>
      <c r="I7" s="17">
        <f t="shared" ref="I7:I70" si="1">IF(AND(G7-H7&lt;0,G6-H6&gt;0), TEXT(G7-H7,"0.00") &amp; " Breakeven Point", G7-H7)</f>
        <v>344.51400000000001</v>
      </c>
    </row>
    <row r="8" spans="2:15" x14ac:dyDescent="0.3">
      <c r="B8" s="1"/>
      <c r="C8" s="1"/>
      <c r="D8" s="1"/>
      <c r="E8" s="1"/>
      <c r="F8" s="28">
        <f t="shared" si="0"/>
        <v>3</v>
      </c>
      <c r="G8" s="4">
        <f>IF(F7&lt;$D$5, ($C$5)*(Break_Even_Point_Calc.!$F$10+(Break_Even_Point_Calc.!$F$17*F8)), "")</f>
        <v>439.52100000000002</v>
      </c>
      <c r="H8" s="4">
        <f>IF(F7&lt;$D$5, ($C$5)*(Break_Even_Point_Calc.!$D$10+(Break_Even_Point_Calc.!$D$17*F8)), "")</f>
        <v>100.625</v>
      </c>
      <c r="I8" s="17">
        <f t="shared" si="1"/>
        <v>338.89600000000002</v>
      </c>
    </row>
    <row r="9" spans="2:15" x14ac:dyDescent="0.3">
      <c r="B9" s="1"/>
      <c r="C9" s="1"/>
      <c r="D9" s="1"/>
      <c r="E9" s="1"/>
      <c r="F9" s="28">
        <f t="shared" si="0"/>
        <v>4</v>
      </c>
      <c r="G9" s="4">
        <f>IF(F8&lt;$D$5, ($C$5)*(Break_Even_Point_Calc.!$F$10+(Break_Even_Point_Calc.!$F$17*F9)), "")</f>
        <v>448.02800000000002</v>
      </c>
      <c r="H9" s="4">
        <f>IF(F8&lt;$D$5, ($C$5)*(Break_Even_Point_Calc.!$D$10+(Break_Even_Point_Calc.!$D$17*F9)), "")</f>
        <v>114.75</v>
      </c>
      <c r="I9" s="17">
        <f t="shared" si="1"/>
        <v>333.27800000000002</v>
      </c>
    </row>
    <row r="10" spans="2:15" x14ac:dyDescent="0.3">
      <c r="B10" s="1"/>
      <c r="C10" s="1"/>
      <c r="D10" s="1"/>
      <c r="E10" s="1"/>
      <c r="F10" s="28">
        <f t="shared" si="0"/>
        <v>5</v>
      </c>
      <c r="G10" s="4">
        <f>IF(F9&lt;$D$5, ($C$5)*(Break_Even_Point_Calc.!$F$10+(Break_Even_Point_Calc.!$F$17*F10)), "")</f>
        <v>456.53499999999997</v>
      </c>
      <c r="H10" s="4">
        <f>IF(F9&lt;$D$5, ($C$5)*(Break_Even_Point_Calc.!$D$10+(Break_Even_Point_Calc.!$D$17*F10)), "")</f>
        <v>128.875</v>
      </c>
      <c r="I10" s="17">
        <f t="shared" si="1"/>
        <v>327.65999999999997</v>
      </c>
    </row>
    <row r="11" spans="2:15" x14ac:dyDescent="0.3">
      <c r="B11" s="1"/>
      <c r="C11" s="1"/>
      <c r="D11" s="1"/>
      <c r="E11" s="16"/>
      <c r="F11" s="28">
        <f t="shared" si="0"/>
        <v>6</v>
      </c>
      <c r="G11" s="4">
        <f>IF(F10&lt;$D$5, ($C$5)*(Break_Even_Point_Calc.!$F$10+(Break_Even_Point_Calc.!$F$17*F11)), "")</f>
        <v>465.04200000000003</v>
      </c>
      <c r="H11" s="4">
        <f>IF(F10&lt;$D$5, ($C$5)*(Break_Even_Point_Calc.!$D$10+(Break_Even_Point_Calc.!$D$17*F11)), "")</f>
        <v>143</v>
      </c>
      <c r="I11" s="17">
        <f t="shared" si="1"/>
        <v>322.04200000000003</v>
      </c>
    </row>
    <row r="12" spans="2:15" x14ac:dyDescent="0.3">
      <c r="B12" s="1"/>
      <c r="C12" s="1"/>
      <c r="D12" s="1"/>
      <c r="E12" s="16"/>
      <c r="F12" s="28">
        <f t="shared" si="0"/>
        <v>7</v>
      </c>
      <c r="G12" s="4">
        <f>IF(F11&lt;$D$5, ($C$5)*(Break_Even_Point_Calc.!$F$10+(Break_Even_Point_Calc.!$F$17*F12)), "")</f>
        <v>473.54899999999998</v>
      </c>
      <c r="H12" s="4">
        <f>IF(F11&lt;$D$5, ($C$5)*(Break_Even_Point_Calc.!$D$10+(Break_Even_Point_Calc.!$D$17*F12)), "")</f>
        <v>157.125</v>
      </c>
      <c r="I12" s="17">
        <f t="shared" si="1"/>
        <v>316.42399999999998</v>
      </c>
    </row>
    <row r="13" spans="2:15" x14ac:dyDescent="0.3">
      <c r="B13" s="7"/>
      <c r="C13" s="7"/>
      <c r="D13" s="7"/>
      <c r="E13" s="7"/>
      <c r="F13" s="28">
        <f t="shared" si="0"/>
        <v>8</v>
      </c>
      <c r="G13" s="4">
        <f>IF(F12&lt;$D$5, ($C$5)*(Break_Even_Point_Calc.!$F$10+(Break_Even_Point_Calc.!$F$17*F13)), "")</f>
        <v>482.05599999999998</v>
      </c>
      <c r="H13" s="4">
        <f>IF(F12&lt;$D$5, ($C$5)*(Break_Even_Point_Calc.!$D$10+(Break_Even_Point_Calc.!$D$17*F13)), "")</f>
        <v>171.25</v>
      </c>
      <c r="I13" s="17">
        <f t="shared" si="1"/>
        <v>310.80599999999998</v>
      </c>
    </row>
    <row r="14" spans="2:15" x14ac:dyDescent="0.3">
      <c r="B14" s="7"/>
      <c r="C14" s="7"/>
      <c r="D14" s="7"/>
      <c r="E14" s="7"/>
      <c r="F14" s="28">
        <f t="shared" si="0"/>
        <v>9</v>
      </c>
      <c r="G14" s="4">
        <f>IF(F13&lt;$D$5, ($C$5)*(Break_Even_Point_Calc.!$F$10+(Break_Even_Point_Calc.!$F$17*F14)), "")</f>
        <v>490.56299999999999</v>
      </c>
      <c r="H14" s="4">
        <f>IF(F13&lt;$D$5, ($C$5)*(Break_Even_Point_Calc.!$D$10+(Break_Even_Point_Calc.!$D$17*F14)), "")</f>
        <v>185.375</v>
      </c>
      <c r="I14" s="17">
        <f t="shared" si="1"/>
        <v>305.18799999999999</v>
      </c>
    </row>
    <row r="15" spans="2:15" x14ac:dyDescent="0.3">
      <c r="B15" s="1"/>
      <c r="C15" s="1"/>
      <c r="D15" s="1"/>
      <c r="E15" s="1"/>
      <c r="F15" s="28">
        <f t="shared" si="0"/>
        <v>10</v>
      </c>
      <c r="G15" s="4">
        <f>IF(F14&lt;$D$5, ($C$5)*(Break_Even_Point_Calc.!$F$10+(Break_Even_Point_Calc.!$F$17*F15)), "")</f>
        <v>499.07</v>
      </c>
      <c r="H15" s="4">
        <f>IF(F14&lt;$D$5, ($C$5)*(Break_Even_Point_Calc.!$D$10+(Break_Even_Point_Calc.!$D$17*F15)), "")</f>
        <v>199.5</v>
      </c>
      <c r="I15" s="17">
        <f t="shared" si="1"/>
        <v>299.57</v>
      </c>
    </row>
    <row r="16" spans="2:15" x14ac:dyDescent="0.3">
      <c r="B16" s="1"/>
      <c r="C16" s="1"/>
      <c r="D16" s="1"/>
      <c r="E16" s="1"/>
      <c r="F16" s="28">
        <f t="shared" si="0"/>
        <v>11</v>
      </c>
      <c r="G16" s="4">
        <f>IF(F15&lt;$D$5, ($C$5)*(Break_Even_Point_Calc.!$F$10+(Break_Even_Point_Calc.!$F$17*F16)), "")</f>
        <v>507.577</v>
      </c>
      <c r="H16" s="4">
        <f>IF(F15&lt;$D$5, ($C$5)*(Break_Even_Point_Calc.!$D$10+(Break_Even_Point_Calc.!$D$17*F16)), "")</f>
        <v>213.625</v>
      </c>
      <c r="I16" s="17">
        <f t="shared" si="1"/>
        <v>293.952</v>
      </c>
    </row>
    <row r="17" spans="2:9" x14ac:dyDescent="0.3">
      <c r="B17" s="1"/>
      <c r="C17" s="1"/>
      <c r="D17" s="1"/>
      <c r="E17" s="1"/>
      <c r="F17" s="28">
        <f t="shared" si="0"/>
        <v>12</v>
      </c>
      <c r="G17" s="4">
        <f>IF(F16&lt;$D$5, ($C$5)*(Break_Even_Point_Calc.!$F$10+(Break_Even_Point_Calc.!$F$17*F17)), "")</f>
        <v>516.08400000000006</v>
      </c>
      <c r="H17" s="4">
        <f>IF(F16&lt;$D$5, ($C$5)*(Break_Even_Point_Calc.!$D$10+(Break_Even_Point_Calc.!$D$17*F17)), "")</f>
        <v>227.75</v>
      </c>
      <c r="I17" s="17">
        <f t="shared" si="1"/>
        <v>288.33400000000006</v>
      </c>
    </row>
    <row r="18" spans="2:9" x14ac:dyDescent="0.3">
      <c r="B18" s="1"/>
      <c r="C18" s="1"/>
      <c r="D18" s="1"/>
      <c r="E18" s="1"/>
      <c r="F18" s="28">
        <f t="shared" si="0"/>
        <v>13</v>
      </c>
      <c r="G18" s="4">
        <f>IF(F17&lt;$D$5, ($C$5)*(Break_Even_Point_Calc.!$F$10+(Break_Even_Point_Calc.!$F$17*F18)), "")</f>
        <v>524.59100000000001</v>
      </c>
      <c r="H18" s="4">
        <f>IF(F17&lt;$D$5, ($C$5)*(Break_Even_Point_Calc.!$D$10+(Break_Even_Point_Calc.!$D$17*F18)), "")</f>
        <v>241.875</v>
      </c>
      <c r="I18" s="17">
        <f t="shared" si="1"/>
        <v>282.71600000000001</v>
      </c>
    </row>
    <row r="19" spans="2:9" x14ac:dyDescent="0.3">
      <c r="B19" s="1"/>
      <c r="C19" s="1"/>
      <c r="D19" s="1"/>
      <c r="E19" s="1"/>
      <c r="F19" s="28">
        <f t="shared" si="0"/>
        <v>14</v>
      </c>
      <c r="G19" s="4">
        <f>IF(F18&lt;$D$5, ($C$5)*(Break_Even_Point_Calc.!$F$10+(Break_Even_Point_Calc.!$F$17*F19)), "")</f>
        <v>533.09799999999996</v>
      </c>
      <c r="H19" s="4">
        <f>IF(F18&lt;$D$5, ($C$5)*(Break_Even_Point_Calc.!$D$10+(Break_Even_Point_Calc.!$D$17*F19)), "")</f>
        <v>256</v>
      </c>
      <c r="I19" s="17">
        <f t="shared" si="1"/>
        <v>277.09799999999996</v>
      </c>
    </row>
    <row r="20" spans="2:9" x14ac:dyDescent="0.3">
      <c r="B20" s="1"/>
      <c r="C20" s="1"/>
      <c r="D20" s="1"/>
      <c r="E20" s="1"/>
      <c r="F20" s="28">
        <f t="shared" si="0"/>
        <v>15</v>
      </c>
      <c r="G20" s="4">
        <f>IF(F19&lt;$D$5, ($C$5)*(Break_Even_Point_Calc.!$F$10+(Break_Even_Point_Calc.!$F$17*F20)), "")</f>
        <v>541.60500000000002</v>
      </c>
      <c r="H20" s="4">
        <f>IF(F19&lt;$D$5, ($C$5)*(Break_Even_Point_Calc.!$D$10+(Break_Even_Point_Calc.!$D$17*F20)), "")</f>
        <v>270.125</v>
      </c>
      <c r="I20" s="17">
        <f t="shared" si="1"/>
        <v>271.48</v>
      </c>
    </row>
    <row r="21" spans="2:9" x14ac:dyDescent="0.3">
      <c r="B21" s="1"/>
      <c r="C21" s="1"/>
      <c r="D21" s="1"/>
      <c r="E21" s="1"/>
      <c r="F21" s="28">
        <f t="shared" si="0"/>
        <v>16</v>
      </c>
      <c r="G21" s="4">
        <f>IF(F20&lt;$D$5, ($C$5)*(Break_Even_Point_Calc.!$F$10+(Break_Even_Point_Calc.!$F$17*F21)), "")</f>
        <v>550.11199999999997</v>
      </c>
      <c r="H21" s="4">
        <f>IF(F20&lt;$D$5, ($C$5)*(Break_Even_Point_Calc.!$D$10+(Break_Even_Point_Calc.!$D$17*F21)), "")</f>
        <v>284.25</v>
      </c>
      <c r="I21" s="17">
        <f t="shared" si="1"/>
        <v>265.86199999999997</v>
      </c>
    </row>
    <row r="22" spans="2:9" x14ac:dyDescent="0.3">
      <c r="B22" s="1"/>
      <c r="C22" s="1"/>
      <c r="D22" s="1"/>
      <c r="E22" s="1"/>
      <c r="F22" s="28">
        <f t="shared" si="0"/>
        <v>17</v>
      </c>
      <c r="G22" s="4">
        <f>IF(F21&lt;$D$5, ($C$5)*(Break_Even_Point_Calc.!$F$10+(Break_Even_Point_Calc.!$F$17*F22)), "")</f>
        <v>558.61900000000003</v>
      </c>
      <c r="H22" s="4">
        <f>IF(F21&lt;$D$5, ($C$5)*(Break_Even_Point_Calc.!$D$10+(Break_Even_Point_Calc.!$D$17*F22)), "")</f>
        <v>298.375</v>
      </c>
      <c r="I22" s="17">
        <f t="shared" si="1"/>
        <v>260.24400000000003</v>
      </c>
    </row>
    <row r="23" spans="2:9" x14ac:dyDescent="0.3">
      <c r="B23" s="1"/>
      <c r="C23" s="1"/>
      <c r="D23" s="1"/>
      <c r="E23" s="1"/>
      <c r="F23" s="28">
        <f t="shared" si="0"/>
        <v>18</v>
      </c>
      <c r="G23" s="4">
        <f>IF(F22&lt;$D$5, ($C$5)*(Break_Even_Point_Calc.!$F$10+(Break_Even_Point_Calc.!$F$17*F23)), "")</f>
        <v>567.12599999999998</v>
      </c>
      <c r="H23" s="4">
        <f>IF(F22&lt;$D$5, ($C$5)*(Break_Even_Point_Calc.!$D$10+(Break_Even_Point_Calc.!$D$17*F23)), "")</f>
        <v>312.5</v>
      </c>
      <c r="I23" s="17">
        <f t="shared" si="1"/>
        <v>254.62599999999998</v>
      </c>
    </row>
    <row r="24" spans="2:9" x14ac:dyDescent="0.3">
      <c r="B24" s="1"/>
      <c r="C24" s="1"/>
      <c r="D24" s="1"/>
      <c r="E24" s="1"/>
      <c r="F24" s="28">
        <f t="shared" si="0"/>
        <v>19</v>
      </c>
      <c r="G24" s="4">
        <f>IF(F23&lt;$D$5, ($C$5)*(Break_Even_Point_Calc.!$F$10+(Break_Even_Point_Calc.!$F$17*F24)), "")</f>
        <v>575.63300000000004</v>
      </c>
      <c r="H24" s="4">
        <f>IF(F23&lt;$D$5, ($C$5)*(Break_Even_Point_Calc.!$D$10+(Break_Even_Point_Calc.!$D$17*F24)), "")</f>
        <v>326.625</v>
      </c>
      <c r="I24" s="17">
        <f t="shared" si="1"/>
        <v>249.00800000000004</v>
      </c>
    </row>
    <row r="25" spans="2:9" x14ac:dyDescent="0.3">
      <c r="B25" s="1"/>
      <c r="C25" s="1"/>
      <c r="D25" s="1"/>
      <c r="E25" s="1"/>
      <c r="F25" s="28">
        <f t="shared" si="0"/>
        <v>20</v>
      </c>
      <c r="G25" s="4">
        <f>IF(F24&lt;$D$5, ($C$5)*(Break_Even_Point_Calc.!$F$10+(Break_Even_Point_Calc.!$F$17*F25)), "")</f>
        <v>584.14</v>
      </c>
      <c r="H25" s="4">
        <f>IF(F24&lt;$D$5, ($C$5)*(Break_Even_Point_Calc.!$D$10+(Break_Even_Point_Calc.!$D$17*F25)), "")</f>
        <v>340.75</v>
      </c>
      <c r="I25" s="17">
        <f t="shared" si="1"/>
        <v>243.39</v>
      </c>
    </row>
    <row r="26" spans="2:9" x14ac:dyDescent="0.3">
      <c r="B26" s="1"/>
      <c r="C26" s="1"/>
      <c r="D26" s="1"/>
      <c r="E26" s="1"/>
      <c r="F26" s="28">
        <f t="shared" si="0"/>
        <v>21</v>
      </c>
      <c r="G26" s="4">
        <f>IF(F25&lt;$D$5, ($C$5)*(Break_Even_Point_Calc.!$F$10+(Break_Even_Point_Calc.!$F$17*F26)), "")</f>
        <v>592.64699999999993</v>
      </c>
      <c r="H26" s="4">
        <f>IF(F25&lt;$D$5, ($C$5)*(Break_Even_Point_Calc.!$D$10+(Break_Even_Point_Calc.!$D$17*F26)), "")</f>
        <v>354.875</v>
      </c>
      <c r="I26" s="17">
        <f t="shared" si="1"/>
        <v>237.77199999999993</v>
      </c>
    </row>
    <row r="27" spans="2:9" x14ac:dyDescent="0.3">
      <c r="B27" s="1"/>
      <c r="C27" s="1"/>
      <c r="D27" s="1"/>
      <c r="E27" s="1"/>
      <c r="F27" s="28">
        <f t="shared" si="0"/>
        <v>22</v>
      </c>
      <c r="G27" s="4">
        <f>IF(F26&lt;$D$5, ($C$5)*(Break_Even_Point_Calc.!$F$10+(Break_Even_Point_Calc.!$F$17*F27)), "")</f>
        <v>601.154</v>
      </c>
      <c r="H27" s="4">
        <f>IF(F26&lt;$D$5, ($C$5)*(Break_Even_Point_Calc.!$D$10+(Break_Even_Point_Calc.!$D$17*F27)), "")</f>
        <v>369</v>
      </c>
      <c r="I27" s="17">
        <f t="shared" si="1"/>
        <v>232.154</v>
      </c>
    </row>
    <row r="28" spans="2:9" x14ac:dyDescent="0.3">
      <c r="B28" s="1"/>
      <c r="C28" s="1"/>
      <c r="D28" s="1"/>
      <c r="E28" s="1"/>
      <c r="F28" s="28">
        <f t="shared" si="0"/>
        <v>23</v>
      </c>
      <c r="G28" s="4">
        <f>IF(F27&lt;$D$5, ($C$5)*(Break_Even_Point_Calc.!$F$10+(Break_Even_Point_Calc.!$F$17*F28)), "")</f>
        <v>609.66100000000006</v>
      </c>
      <c r="H28" s="4">
        <f>IF(F27&lt;$D$5, ($C$5)*(Break_Even_Point_Calc.!$D$10+(Break_Even_Point_Calc.!$D$17*F28)), "")</f>
        <v>383.125</v>
      </c>
      <c r="I28" s="17">
        <f t="shared" si="1"/>
        <v>226.53600000000006</v>
      </c>
    </row>
    <row r="29" spans="2:9" x14ac:dyDescent="0.3">
      <c r="B29" s="1"/>
      <c r="C29" s="1"/>
      <c r="D29" s="1"/>
      <c r="E29" s="1"/>
      <c r="F29" s="28">
        <f t="shared" si="0"/>
        <v>24</v>
      </c>
      <c r="G29" s="4">
        <f>IF(F28&lt;$D$5, ($C$5)*(Break_Even_Point_Calc.!$F$10+(Break_Even_Point_Calc.!$F$17*F29)), "")</f>
        <v>618.16800000000001</v>
      </c>
      <c r="H29" s="4">
        <f>IF(F28&lt;$D$5, ($C$5)*(Break_Even_Point_Calc.!$D$10+(Break_Even_Point_Calc.!$D$17*F29)), "")</f>
        <v>397.25</v>
      </c>
      <c r="I29" s="17">
        <f t="shared" si="1"/>
        <v>220.91800000000001</v>
      </c>
    </row>
    <row r="30" spans="2:9" x14ac:dyDescent="0.3">
      <c r="B30" s="1"/>
      <c r="C30" s="1"/>
      <c r="D30" s="1"/>
      <c r="E30" s="1"/>
      <c r="F30" s="28">
        <f t="shared" si="0"/>
        <v>25</v>
      </c>
      <c r="G30" s="4">
        <f>IF(F29&lt;$D$5, ($C$5)*(Break_Even_Point_Calc.!$F$10+(Break_Even_Point_Calc.!$F$17*F30)), "")</f>
        <v>626.67499999999995</v>
      </c>
      <c r="H30" s="4">
        <f>IF(F29&lt;$D$5, ($C$5)*(Break_Even_Point_Calc.!$D$10+(Break_Even_Point_Calc.!$D$17*F30)), "")</f>
        <v>411.375</v>
      </c>
      <c r="I30" s="17">
        <f t="shared" si="1"/>
        <v>215.29999999999995</v>
      </c>
    </row>
    <row r="31" spans="2:9" x14ac:dyDescent="0.3">
      <c r="B31" s="1"/>
      <c r="C31" s="1"/>
      <c r="D31" s="1"/>
      <c r="E31" s="1"/>
      <c r="F31" s="28">
        <f t="shared" si="0"/>
        <v>26</v>
      </c>
      <c r="G31" s="4">
        <f>IF(F30&lt;$D$5, ($C$5)*(Break_Even_Point_Calc.!$F$10+(Break_Even_Point_Calc.!$F$17*F31)), "")</f>
        <v>635.18200000000002</v>
      </c>
      <c r="H31" s="4">
        <f>IF(F30&lt;$D$5, ($C$5)*(Break_Even_Point_Calc.!$D$10+(Break_Even_Point_Calc.!$D$17*F31)), "")</f>
        <v>425.5</v>
      </c>
      <c r="I31" s="17">
        <f t="shared" si="1"/>
        <v>209.68200000000002</v>
      </c>
    </row>
    <row r="32" spans="2:9" x14ac:dyDescent="0.3">
      <c r="B32" s="1"/>
      <c r="C32" s="1"/>
      <c r="D32" s="1"/>
      <c r="E32" s="1"/>
      <c r="F32" s="28">
        <f t="shared" si="0"/>
        <v>27</v>
      </c>
      <c r="G32" s="4">
        <f>IF(F31&lt;$D$5, ($C$5)*(Break_Even_Point_Calc.!$F$10+(Break_Even_Point_Calc.!$F$17*F32)), "")</f>
        <v>643.68899999999996</v>
      </c>
      <c r="H32" s="4">
        <f>IF(F31&lt;$D$5, ($C$5)*(Break_Even_Point_Calc.!$D$10+(Break_Even_Point_Calc.!$D$17*F32)), "")</f>
        <v>439.625</v>
      </c>
      <c r="I32" s="17">
        <f t="shared" si="1"/>
        <v>204.06399999999996</v>
      </c>
    </row>
    <row r="33" spans="2:9" x14ac:dyDescent="0.3">
      <c r="B33" s="1"/>
      <c r="C33" s="1"/>
      <c r="D33" s="1"/>
      <c r="E33" s="1"/>
      <c r="F33" s="28">
        <f t="shared" si="0"/>
        <v>28</v>
      </c>
      <c r="G33" s="4">
        <f>IF(F32&lt;$D$5, ($C$5)*(Break_Even_Point_Calc.!$F$10+(Break_Even_Point_Calc.!$F$17*F33)), "")</f>
        <v>652.19600000000003</v>
      </c>
      <c r="H33" s="4">
        <f>IF(F32&lt;$D$5, ($C$5)*(Break_Even_Point_Calc.!$D$10+(Break_Even_Point_Calc.!$D$17*F33)), "")</f>
        <v>453.75</v>
      </c>
      <c r="I33" s="17">
        <f t="shared" si="1"/>
        <v>198.44600000000003</v>
      </c>
    </row>
    <row r="34" spans="2:9" x14ac:dyDescent="0.3">
      <c r="B34" s="1"/>
      <c r="C34" s="1"/>
      <c r="D34" s="1"/>
      <c r="E34" s="1"/>
      <c r="F34" s="28">
        <f t="shared" si="0"/>
        <v>29</v>
      </c>
      <c r="G34" s="4">
        <f>IF(F33&lt;$D$5, ($C$5)*(Break_Even_Point_Calc.!$F$10+(Break_Even_Point_Calc.!$F$17*F34)), "")</f>
        <v>660.70299999999997</v>
      </c>
      <c r="H34" s="4">
        <f>IF(F33&lt;$D$5, ($C$5)*(Break_Even_Point_Calc.!$D$10+(Break_Even_Point_Calc.!$D$17*F34)), "")</f>
        <v>467.875</v>
      </c>
      <c r="I34" s="17">
        <f t="shared" si="1"/>
        <v>192.82799999999997</v>
      </c>
    </row>
    <row r="35" spans="2:9" x14ac:dyDescent="0.3">
      <c r="B35" s="1"/>
      <c r="C35" s="1"/>
      <c r="D35" s="1"/>
      <c r="E35" s="1"/>
      <c r="F35" s="28">
        <f t="shared" si="0"/>
        <v>30</v>
      </c>
      <c r="G35" s="4">
        <f>IF(F34&lt;$D$5, ($C$5)*(Break_Even_Point_Calc.!$F$10+(Break_Even_Point_Calc.!$F$17*F35)), "")</f>
        <v>669.21</v>
      </c>
      <c r="H35" s="4">
        <f>IF(F34&lt;$D$5, ($C$5)*(Break_Even_Point_Calc.!$D$10+(Break_Even_Point_Calc.!$D$17*F35)), "")</f>
        <v>482</v>
      </c>
      <c r="I35" s="17">
        <f t="shared" si="1"/>
        <v>187.21000000000004</v>
      </c>
    </row>
    <row r="36" spans="2:9" x14ac:dyDescent="0.3">
      <c r="B36" s="1"/>
      <c r="C36" s="1"/>
      <c r="D36" s="1"/>
      <c r="E36" s="1"/>
      <c r="F36" s="28">
        <f t="shared" si="0"/>
        <v>31</v>
      </c>
      <c r="G36" s="4">
        <f>IF(F35&lt;$D$5, ($C$5)*(Break_Even_Point_Calc.!$F$10+(Break_Even_Point_Calc.!$F$17*F36)), "")</f>
        <v>677.71699999999998</v>
      </c>
      <c r="H36" s="4">
        <f>IF(F35&lt;$D$5, ($C$5)*(Break_Even_Point_Calc.!$D$10+(Break_Even_Point_Calc.!$D$17*F36)), "")</f>
        <v>496.125</v>
      </c>
      <c r="I36" s="17">
        <f t="shared" si="1"/>
        <v>181.59199999999998</v>
      </c>
    </row>
    <row r="37" spans="2:9" x14ac:dyDescent="0.3">
      <c r="B37" s="1"/>
      <c r="C37" s="1"/>
      <c r="D37" s="1"/>
      <c r="E37" s="1"/>
      <c r="F37" s="28">
        <f t="shared" si="0"/>
        <v>32</v>
      </c>
      <c r="G37" s="4">
        <f>IF(F36&lt;$D$5, ($C$5)*(Break_Even_Point_Calc.!$F$10+(Break_Even_Point_Calc.!$F$17*F37)), "")</f>
        <v>686.22399999999993</v>
      </c>
      <c r="H37" s="4">
        <f>IF(F36&lt;$D$5, ($C$5)*(Break_Even_Point_Calc.!$D$10+(Break_Even_Point_Calc.!$D$17*F37)), "")</f>
        <v>510.25</v>
      </c>
      <c r="I37" s="17">
        <f t="shared" si="1"/>
        <v>175.97399999999993</v>
      </c>
    </row>
    <row r="38" spans="2:9" x14ac:dyDescent="0.3">
      <c r="B38" s="1"/>
      <c r="C38" s="1"/>
      <c r="D38" s="1"/>
      <c r="E38" s="1"/>
      <c r="F38" s="28">
        <f t="shared" si="0"/>
        <v>33</v>
      </c>
      <c r="G38" s="4">
        <f>IF(F37&lt;$D$5, ($C$5)*(Break_Even_Point_Calc.!$F$10+(Break_Even_Point_Calc.!$F$17*F38)), "")</f>
        <v>694.73099999999999</v>
      </c>
      <c r="H38" s="4">
        <f>IF(F37&lt;$D$5, ($C$5)*(Break_Even_Point_Calc.!$D$10+(Break_Even_Point_Calc.!$D$17*F38)), "")</f>
        <v>524.375</v>
      </c>
      <c r="I38" s="17">
        <f t="shared" si="1"/>
        <v>170.35599999999999</v>
      </c>
    </row>
    <row r="39" spans="2:9" x14ac:dyDescent="0.3">
      <c r="B39" s="1"/>
      <c r="C39" s="1"/>
      <c r="D39" s="1"/>
      <c r="E39" s="1"/>
      <c r="F39" s="28">
        <f t="shared" si="0"/>
        <v>34</v>
      </c>
      <c r="G39" s="4">
        <f>IF(F38&lt;$D$5, ($C$5)*(Break_Even_Point_Calc.!$F$10+(Break_Even_Point_Calc.!$F$17*F39)), "")</f>
        <v>703.23800000000006</v>
      </c>
      <c r="H39" s="4">
        <f>IF(F38&lt;$D$5, ($C$5)*(Break_Even_Point_Calc.!$D$10+(Break_Even_Point_Calc.!$D$17*F39)), "")</f>
        <v>538.5</v>
      </c>
      <c r="I39" s="17">
        <f t="shared" si="1"/>
        <v>164.73800000000006</v>
      </c>
    </row>
    <row r="40" spans="2:9" x14ac:dyDescent="0.3">
      <c r="B40" s="1"/>
      <c r="C40" s="1"/>
      <c r="D40" s="1"/>
      <c r="E40" s="1"/>
      <c r="F40" s="28">
        <f t="shared" si="0"/>
        <v>35</v>
      </c>
      <c r="G40" s="4">
        <f>IF(F39&lt;$D$5, ($C$5)*(Break_Even_Point_Calc.!$F$10+(Break_Even_Point_Calc.!$F$17*F40)), "")</f>
        <v>711.745</v>
      </c>
      <c r="H40" s="4">
        <f>IF(F39&lt;$D$5, ($C$5)*(Break_Even_Point_Calc.!$D$10+(Break_Even_Point_Calc.!$D$17*F40)), "")</f>
        <v>552.625</v>
      </c>
      <c r="I40" s="17">
        <f t="shared" si="1"/>
        <v>159.12</v>
      </c>
    </row>
    <row r="41" spans="2:9" x14ac:dyDescent="0.3">
      <c r="B41" s="1"/>
      <c r="C41" s="1"/>
      <c r="D41" s="1"/>
      <c r="E41" s="1"/>
      <c r="F41" s="28">
        <f t="shared" si="0"/>
        <v>36</v>
      </c>
      <c r="G41" s="4">
        <f>IF(F40&lt;$D$5, ($C$5)*(Break_Even_Point_Calc.!$F$10+(Break_Even_Point_Calc.!$F$17*F41)), "")</f>
        <v>720.25199999999995</v>
      </c>
      <c r="H41" s="4">
        <f>IF(F40&lt;$D$5, ($C$5)*(Break_Even_Point_Calc.!$D$10+(Break_Even_Point_Calc.!$D$17*F41)), "")</f>
        <v>566.75</v>
      </c>
      <c r="I41" s="17">
        <f t="shared" si="1"/>
        <v>153.50199999999995</v>
      </c>
    </row>
    <row r="42" spans="2:9" x14ac:dyDescent="0.3">
      <c r="B42" s="1"/>
      <c r="C42" s="1"/>
      <c r="D42" s="1"/>
      <c r="E42" s="1"/>
      <c r="F42" s="28">
        <f t="shared" si="0"/>
        <v>37</v>
      </c>
      <c r="G42" s="4">
        <f>IF(F41&lt;$D$5, ($C$5)*(Break_Even_Point_Calc.!$F$10+(Break_Even_Point_Calc.!$F$17*F42)), "")</f>
        <v>728.75900000000001</v>
      </c>
      <c r="H42" s="4">
        <f>IF(F41&lt;$D$5, ($C$5)*(Break_Even_Point_Calc.!$D$10+(Break_Even_Point_Calc.!$D$17*F42)), "")</f>
        <v>580.875</v>
      </c>
      <c r="I42" s="17">
        <f t="shared" si="1"/>
        <v>147.88400000000001</v>
      </c>
    </row>
    <row r="43" spans="2:9" x14ac:dyDescent="0.3">
      <c r="B43" s="1"/>
      <c r="C43" s="1"/>
      <c r="D43" s="1"/>
      <c r="E43" s="1"/>
      <c r="F43" s="28">
        <f t="shared" si="0"/>
        <v>38</v>
      </c>
      <c r="G43" s="4">
        <f>IF(F42&lt;$D$5, ($C$5)*(Break_Even_Point_Calc.!$F$10+(Break_Even_Point_Calc.!$F$17*F43)), "")</f>
        <v>737.26599999999996</v>
      </c>
      <c r="H43" s="4">
        <f>IF(F42&lt;$D$5, ($C$5)*(Break_Even_Point_Calc.!$D$10+(Break_Even_Point_Calc.!$D$17*F43)), "")</f>
        <v>595</v>
      </c>
      <c r="I43" s="17">
        <f t="shared" si="1"/>
        <v>142.26599999999996</v>
      </c>
    </row>
    <row r="44" spans="2:9" x14ac:dyDescent="0.3">
      <c r="B44" s="1"/>
      <c r="C44" s="1"/>
      <c r="D44" s="1"/>
      <c r="E44" s="1"/>
      <c r="F44" s="28">
        <f t="shared" si="0"/>
        <v>39</v>
      </c>
      <c r="G44" s="4">
        <f>IF(F43&lt;$D$5, ($C$5)*(Break_Even_Point_Calc.!$F$10+(Break_Even_Point_Calc.!$F$17*F44)), "")</f>
        <v>745.77299999999991</v>
      </c>
      <c r="H44" s="4">
        <f>IF(F43&lt;$D$5, ($C$5)*(Break_Even_Point_Calc.!$D$10+(Break_Even_Point_Calc.!$D$17*F44)), "")</f>
        <v>609.125</v>
      </c>
      <c r="I44" s="17">
        <f t="shared" si="1"/>
        <v>136.64799999999991</v>
      </c>
    </row>
    <row r="45" spans="2:9" x14ac:dyDescent="0.3">
      <c r="B45" s="1"/>
      <c r="C45" s="1"/>
      <c r="D45" s="1"/>
      <c r="E45" s="1"/>
      <c r="F45" s="28">
        <f t="shared" si="0"/>
        <v>40</v>
      </c>
      <c r="G45" s="4">
        <f>IF(F44&lt;$D$5, ($C$5)*(Break_Even_Point_Calc.!$F$10+(Break_Even_Point_Calc.!$F$17*F45)), "")</f>
        <v>754.28</v>
      </c>
      <c r="H45" s="4">
        <f>IF(F44&lt;$D$5, ($C$5)*(Break_Even_Point_Calc.!$D$10+(Break_Even_Point_Calc.!$D$17*F45)), "")</f>
        <v>623.25</v>
      </c>
      <c r="I45" s="17">
        <f t="shared" si="1"/>
        <v>131.02999999999997</v>
      </c>
    </row>
    <row r="46" spans="2:9" x14ac:dyDescent="0.3">
      <c r="B46" s="1"/>
      <c r="C46" s="1"/>
      <c r="D46" s="1"/>
      <c r="E46" s="1"/>
      <c r="F46" s="28">
        <f t="shared" si="0"/>
        <v>41</v>
      </c>
      <c r="G46" s="4">
        <f>IF(F45&lt;$D$5, ($C$5)*(Break_Even_Point_Calc.!$F$10+(Break_Even_Point_Calc.!$F$17*F46)), "")</f>
        <v>762.78700000000003</v>
      </c>
      <c r="H46" s="4">
        <f>IF(F45&lt;$D$5, ($C$5)*(Break_Even_Point_Calc.!$D$10+(Break_Even_Point_Calc.!$D$17*F46)), "")</f>
        <v>637.375</v>
      </c>
      <c r="I46" s="17">
        <f t="shared" si="1"/>
        <v>125.41200000000003</v>
      </c>
    </row>
    <row r="47" spans="2:9" x14ac:dyDescent="0.3">
      <c r="B47" s="1"/>
      <c r="C47" s="1"/>
      <c r="D47" s="1"/>
      <c r="E47" s="1"/>
      <c r="F47" s="28">
        <f t="shared" si="0"/>
        <v>42</v>
      </c>
      <c r="G47" s="4">
        <f>IF(F46&lt;$D$5, ($C$5)*(Break_Even_Point_Calc.!$F$10+(Break_Even_Point_Calc.!$F$17*F47)), "")</f>
        <v>771.29399999999998</v>
      </c>
      <c r="H47" s="4">
        <f>IF(F46&lt;$D$5, ($C$5)*(Break_Even_Point_Calc.!$D$10+(Break_Even_Point_Calc.!$D$17*F47)), "")</f>
        <v>651.5</v>
      </c>
      <c r="I47" s="17">
        <f t="shared" si="1"/>
        <v>119.79399999999998</v>
      </c>
    </row>
    <row r="48" spans="2:9" x14ac:dyDescent="0.3">
      <c r="B48" s="1"/>
      <c r="C48" s="1"/>
      <c r="D48" s="1"/>
      <c r="E48" s="1"/>
      <c r="F48" s="28">
        <f t="shared" si="0"/>
        <v>43</v>
      </c>
      <c r="G48" s="4">
        <f>IF(F47&lt;$D$5, ($C$5)*(Break_Even_Point_Calc.!$F$10+(Break_Even_Point_Calc.!$F$17*F48)), "")</f>
        <v>779.80099999999993</v>
      </c>
      <c r="H48" s="4">
        <f>IF(F47&lt;$D$5, ($C$5)*(Break_Even_Point_Calc.!$D$10+(Break_Even_Point_Calc.!$D$17*F48)), "")</f>
        <v>665.625</v>
      </c>
      <c r="I48" s="17">
        <f t="shared" si="1"/>
        <v>114.17599999999993</v>
      </c>
    </row>
    <row r="49" spans="2:9" x14ac:dyDescent="0.3">
      <c r="B49" s="1"/>
      <c r="C49" s="1"/>
      <c r="D49" s="1"/>
      <c r="E49" s="1"/>
      <c r="F49" s="28">
        <f t="shared" si="0"/>
        <v>44</v>
      </c>
      <c r="G49" s="4">
        <f>IF(F48&lt;$D$5, ($C$5)*(Break_Even_Point_Calc.!$F$10+(Break_Even_Point_Calc.!$F$17*F49)), "")</f>
        <v>788.30799999999999</v>
      </c>
      <c r="H49" s="4">
        <f>IF(F48&lt;$D$5, ($C$5)*(Break_Even_Point_Calc.!$D$10+(Break_Even_Point_Calc.!$D$17*F49)), "")</f>
        <v>679.75</v>
      </c>
      <c r="I49" s="17">
        <f t="shared" si="1"/>
        <v>108.55799999999999</v>
      </c>
    </row>
    <row r="50" spans="2:9" x14ac:dyDescent="0.3">
      <c r="B50" s="1"/>
      <c r="C50" s="1"/>
      <c r="D50" s="1"/>
      <c r="E50" s="1"/>
      <c r="F50" s="28">
        <f t="shared" si="0"/>
        <v>45</v>
      </c>
      <c r="G50" s="4">
        <f>IF(F49&lt;$D$5, ($C$5)*(Break_Even_Point_Calc.!$F$10+(Break_Even_Point_Calc.!$F$17*F50)), "")</f>
        <v>796.81500000000005</v>
      </c>
      <c r="H50" s="4">
        <f>IF(F49&lt;$D$5, ($C$5)*(Break_Even_Point_Calc.!$D$10+(Break_Even_Point_Calc.!$D$17*F50)), "")</f>
        <v>693.875</v>
      </c>
      <c r="I50" s="17">
        <f t="shared" si="1"/>
        <v>102.94000000000005</v>
      </c>
    </row>
    <row r="51" spans="2:9" x14ac:dyDescent="0.3">
      <c r="B51" s="1"/>
      <c r="C51" s="1"/>
      <c r="D51" s="1"/>
      <c r="E51" s="1"/>
      <c r="F51" s="28">
        <f t="shared" si="0"/>
        <v>46</v>
      </c>
      <c r="G51" s="4">
        <f>IF(F50&lt;$D$5, ($C$5)*(Break_Even_Point_Calc.!$F$10+(Break_Even_Point_Calc.!$F$17*F51)), "")</f>
        <v>805.322</v>
      </c>
      <c r="H51" s="4">
        <f>IF(F50&lt;$D$5, ($C$5)*(Break_Even_Point_Calc.!$D$10+(Break_Even_Point_Calc.!$D$17*F51)), "")</f>
        <v>708</v>
      </c>
      <c r="I51" s="17">
        <f t="shared" si="1"/>
        <v>97.322000000000003</v>
      </c>
    </row>
    <row r="52" spans="2:9" x14ac:dyDescent="0.3">
      <c r="B52" s="1"/>
      <c r="C52" s="1"/>
      <c r="D52" s="1"/>
      <c r="E52" s="1"/>
      <c r="F52" s="28">
        <f t="shared" si="0"/>
        <v>47</v>
      </c>
      <c r="G52" s="4">
        <f>IF(F51&lt;$D$5, ($C$5)*(Break_Even_Point_Calc.!$F$10+(Break_Even_Point_Calc.!$F$17*F52)), "")</f>
        <v>813.82899999999995</v>
      </c>
      <c r="H52" s="4">
        <f>IF(F51&lt;$D$5, ($C$5)*(Break_Even_Point_Calc.!$D$10+(Break_Even_Point_Calc.!$D$17*F52)), "")</f>
        <v>722.125</v>
      </c>
      <c r="I52" s="17">
        <f t="shared" si="1"/>
        <v>91.703999999999951</v>
      </c>
    </row>
    <row r="53" spans="2:9" x14ac:dyDescent="0.3">
      <c r="B53" s="1"/>
      <c r="C53" s="1"/>
      <c r="D53" s="1"/>
      <c r="E53" s="1"/>
      <c r="F53" s="28">
        <f t="shared" si="0"/>
        <v>48</v>
      </c>
      <c r="G53" s="4">
        <f>IF(F52&lt;$D$5, ($C$5)*(Break_Even_Point_Calc.!$F$10+(Break_Even_Point_Calc.!$F$17*F53)), "")</f>
        <v>822.33600000000001</v>
      </c>
      <c r="H53" s="4">
        <f>IF(F52&lt;$D$5, ($C$5)*(Break_Even_Point_Calc.!$D$10+(Break_Even_Point_Calc.!$D$17*F53)), "")</f>
        <v>736.25</v>
      </c>
      <c r="I53" s="17">
        <f t="shared" si="1"/>
        <v>86.086000000000013</v>
      </c>
    </row>
    <row r="54" spans="2:9" x14ac:dyDescent="0.3">
      <c r="B54" s="1"/>
      <c r="C54" s="1"/>
      <c r="D54" s="1"/>
      <c r="E54" s="1"/>
      <c r="F54" s="28">
        <f t="shared" si="0"/>
        <v>49</v>
      </c>
      <c r="G54" s="4">
        <f>IF(F53&lt;$D$5, ($C$5)*(Break_Even_Point_Calc.!$F$10+(Break_Even_Point_Calc.!$F$17*F54)), "")</f>
        <v>830.84299999999996</v>
      </c>
      <c r="H54" s="4">
        <f>IF(F53&lt;$D$5, ($C$5)*(Break_Even_Point_Calc.!$D$10+(Break_Even_Point_Calc.!$D$17*F54)), "")</f>
        <v>750.375</v>
      </c>
      <c r="I54" s="17">
        <f t="shared" si="1"/>
        <v>80.467999999999961</v>
      </c>
    </row>
    <row r="55" spans="2:9" x14ac:dyDescent="0.3">
      <c r="B55" s="1"/>
      <c r="C55" s="1"/>
      <c r="D55" s="1"/>
      <c r="E55" s="1"/>
      <c r="F55" s="28">
        <f t="shared" si="0"/>
        <v>50</v>
      </c>
      <c r="G55" s="4">
        <f>IF(F54&lt;$D$5, ($C$5)*(Break_Even_Point_Calc.!$F$10+(Break_Even_Point_Calc.!$F$17*F55)), "")</f>
        <v>839.34999999999991</v>
      </c>
      <c r="H55" s="4">
        <f>IF(F54&lt;$D$5, ($C$5)*(Break_Even_Point_Calc.!$D$10+(Break_Even_Point_Calc.!$D$17*F55)), "")</f>
        <v>764.5</v>
      </c>
      <c r="I55" s="17">
        <f t="shared" si="1"/>
        <v>74.849999999999909</v>
      </c>
    </row>
    <row r="56" spans="2:9" x14ac:dyDescent="0.3">
      <c r="B56" s="1"/>
      <c r="C56" s="1"/>
      <c r="D56" s="1"/>
      <c r="E56" s="1"/>
      <c r="F56" s="28">
        <f t="shared" si="0"/>
        <v>51</v>
      </c>
      <c r="G56" s="4">
        <f>IF(F55&lt;$D$5, ($C$5)*(Break_Even_Point_Calc.!$F$10+(Break_Even_Point_Calc.!$F$17*F56)), "")</f>
        <v>847.85699999999997</v>
      </c>
      <c r="H56" s="4">
        <f>IF(F55&lt;$D$5, ($C$5)*(Break_Even_Point_Calc.!$D$10+(Break_Even_Point_Calc.!$D$17*F56)), "")</f>
        <v>778.625</v>
      </c>
      <c r="I56" s="17">
        <f t="shared" si="1"/>
        <v>69.231999999999971</v>
      </c>
    </row>
    <row r="57" spans="2:9" x14ac:dyDescent="0.3">
      <c r="B57" s="1"/>
      <c r="C57" s="1"/>
      <c r="D57" s="1"/>
      <c r="E57" s="1"/>
      <c r="F57" s="28">
        <f t="shared" si="0"/>
        <v>52</v>
      </c>
      <c r="G57" s="4">
        <f>IF(F56&lt;$D$5, ($C$5)*(Break_Even_Point_Calc.!$F$10+(Break_Even_Point_Calc.!$F$17*F57)), "")</f>
        <v>856.36400000000003</v>
      </c>
      <c r="H57" s="4">
        <f>IF(F56&lt;$D$5, ($C$5)*(Break_Even_Point_Calc.!$D$10+(Break_Even_Point_Calc.!$D$17*F57)), "")</f>
        <v>792.75</v>
      </c>
      <c r="I57" s="17">
        <f t="shared" si="1"/>
        <v>63.614000000000033</v>
      </c>
    </row>
    <row r="58" spans="2:9" x14ac:dyDescent="0.3">
      <c r="B58" s="1"/>
      <c r="C58" s="1"/>
      <c r="D58" s="1"/>
      <c r="E58" s="1"/>
      <c r="F58" s="28">
        <f t="shared" si="0"/>
        <v>53</v>
      </c>
      <c r="G58" s="4">
        <f>IF(F57&lt;$D$5, ($C$5)*(Break_Even_Point_Calc.!$F$10+(Break_Even_Point_Calc.!$F$17*F58)), "")</f>
        <v>864.87099999999998</v>
      </c>
      <c r="H58" s="4">
        <f>IF(F57&lt;$D$5, ($C$5)*(Break_Even_Point_Calc.!$D$10+(Break_Even_Point_Calc.!$D$17*F58)), "")</f>
        <v>806.875</v>
      </c>
      <c r="I58" s="17">
        <f t="shared" si="1"/>
        <v>57.995999999999981</v>
      </c>
    </row>
    <row r="59" spans="2:9" x14ac:dyDescent="0.3">
      <c r="B59" s="1"/>
      <c r="C59" s="1"/>
      <c r="D59" s="1"/>
      <c r="E59" s="1"/>
      <c r="F59" s="28">
        <f t="shared" si="0"/>
        <v>54</v>
      </c>
      <c r="G59" s="4">
        <f>IF(F58&lt;$D$5, ($C$5)*(Break_Even_Point_Calc.!$F$10+(Break_Even_Point_Calc.!$F$17*F59)), "")</f>
        <v>873.37799999999993</v>
      </c>
      <c r="H59" s="4">
        <f>IF(F58&lt;$D$5, ($C$5)*(Break_Even_Point_Calc.!$D$10+(Break_Even_Point_Calc.!$D$17*F59)), "")</f>
        <v>821</v>
      </c>
      <c r="I59" s="17">
        <f t="shared" si="1"/>
        <v>52.377999999999929</v>
      </c>
    </row>
    <row r="60" spans="2:9" x14ac:dyDescent="0.3">
      <c r="B60" s="1"/>
      <c r="C60" s="1"/>
      <c r="D60" s="1"/>
      <c r="E60" s="1"/>
      <c r="F60" s="28">
        <f t="shared" si="0"/>
        <v>55</v>
      </c>
      <c r="G60" s="4">
        <f>IF(F59&lt;$D$5, ($C$5)*(Break_Even_Point_Calc.!$F$10+(Break_Even_Point_Calc.!$F$17*F60)), "")</f>
        <v>881.88499999999999</v>
      </c>
      <c r="H60" s="4">
        <f>IF(F59&lt;$D$5, ($C$5)*(Break_Even_Point_Calc.!$D$10+(Break_Even_Point_Calc.!$D$17*F60)), "")</f>
        <v>835.125</v>
      </c>
      <c r="I60" s="17">
        <f t="shared" si="1"/>
        <v>46.759999999999991</v>
      </c>
    </row>
    <row r="61" spans="2:9" x14ac:dyDescent="0.3">
      <c r="B61" s="1"/>
      <c r="C61" s="1"/>
      <c r="D61" s="1"/>
      <c r="E61" s="1"/>
      <c r="F61" s="28">
        <f t="shared" si="0"/>
        <v>56</v>
      </c>
      <c r="G61" s="4">
        <f>IF(F60&lt;$D$5, ($C$5)*(Break_Even_Point_Calc.!$F$10+(Break_Even_Point_Calc.!$F$17*F61)), "")</f>
        <v>890.39200000000005</v>
      </c>
      <c r="H61" s="4">
        <f>IF(F60&lt;$D$5, ($C$5)*(Break_Even_Point_Calc.!$D$10+(Break_Even_Point_Calc.!$D$17*F61)), "")</f>
        <v>849.25</v>
      </c>
      <c r="I61" s="17">
        <f t="shared" si="1"/>
        <v>41.142000000000053</v>
      </c>
    </row>
    <row r="62" spans="2:9" x14ac:dyDescent="0.3">
      <c r="B62" s="1"/>
      <c r="C62" s="1"/>
      <c r="D62" s="1"/>
      <c r="E62" s="1"/>
      <c r="F62" s="28">
        <f t="shared" si="0"/>
        <v>57</v>
      </c>
      <c r="G62" s="4">
        <f>IF(F61&lt;$D$5, ($C$5)*(Break_Even_Point_Calc.!$F$10+(Break_Even_Point_Calc.!$F$17*F62)), "")</f>
        <v>898.899</v>
      </c>
      <c r="H62" s="4">
        <f>IF(F61&lt;$D$5, ($C$5)*(Break_Even_Point_Calc.!$D$10+(Break_Even_Point_Calc.!$D$17*F62)), "")</f>
        <v>863.375</v>
      </c>
      <c r="I62" s="17">
        <f t="shared" si="1"/>
        <v>35.524000000000001</v>
      </c>
    </row>
    <row r="63" spans="2:9" x14ac:dyDescent="0.3">
      <c r="B63" s="1"/>
      <c r="C63" s="1"/>
      <c r="D63" s="1"/>
      <c r="E63" s="1"/>
      <c r="F63" s="28">
        <f t="shared" si="0"/>
        <v>58</v>
      </c>
      <c r="G63" s="4">
        <f>IF(F62&lt;$D$5, ($C$5)*(Break_Even_Point_Calc.!$F$10+(Break_Even_Point_Calc.!$F$17*F63)), "")</f>
        <v>907.40599999999995</v>
      </c>
      <c r="H63" s="4">
        <f>IF(F62&lt;$D$5, ($C$5)*(Break_Even_Point_Calc.!$D$10+(Break_Even_Point_Calc.!$D$17*F63)), "")</f>
        <v>877.5</v>
      </c>
      <c r="I63" s="17">
        <f t="shared" si="1"/>
        <v>29.905999999999949</v>
      </c>
    </row>
    <row r="64" spans="2:9" x14ac:dyDescent="0.3">
      <c r="B64" s="1"/>
      <c r="C64" s="1"/>
      <c r="D64" s="1"/>
      <c r="E64" s="1"/>
      <c r="F64" s="28">
        <f t="shared" si="0"/>
        <v>59</v>
      </c>
      <c r="G64" s="4">
        <f>IF(F63&lt;$D$5, ($C$5)*(Break_Even_Point_Calc.!$F$10+(Break_Even_Point_Calc.!$F$17*F64)), "")</f>
        <v>915.91300000000001</v>
      </c>
      <c r="H64" s="4">
        <f>IF(F63&lt;$D$5, ($C$5)*(Break_Even_Point_Calc.!$D$10+(Break_Even_Point_Calc.!$D$17*F64)), "")</f>
        <v>891.625</v>
      </c>
      <c r="I64" s="17">
        <f t="shared" si="1"/>
        <v>24.288000000000011</v>
      </c>
    </row>
    <row r="65" spans="2:9" x14ac:dyDescent="0.3">
      <c r="B65" s="1"/>
      <c r="C65" s="1"/>
      <c r="D65" s="1"/>
      <c r="E65" s="1"/>
      <c r="F65" s="28">
        <f t="shared" si="0"/>
        <v>60</v>
      </c>
      <c r="G65" s="4">
        <f>IF(F64&lt;$D$5, ($C$5)*(Break_Even_Point_Calc.!$F$10+(Break_Even_Point_Calc.!$F$17*F65)), "")</f>
        <v>924.42</v>
      </c>
      <c r="H65" s="4">
        <f>IF(F64&lt;$D$5, ($C$5)*(Break_Even_Point_Calc.!$D$10+(Break_Even_Point_Calc.!$D$17*F65)), "")</f>
        <v>905.75</v>
      </c>
      <c r="I65" s="17">
        <f t="shared" si="1"/>
        <v>18.669999999999959</v>
      </c>
    </row>
    <row r="66" spans="2:9" x14ac:dyDescent="0.3">
      <c r="B66" s="1"/>
      <c r="C66" s="1"/>
      <c r="D66" s="1"/>
      <c r="E66" s="1"/>
      <c r="F66" s="28">
        <f t="shared" si="0"/>
        <v>61</v>
      </c>
      <c r="G66" s="4">
        <f>IF(F65&lt;$D$5, ($C$5)*(Break_Even_Point_Calc.!$F$10+(Break_Even_Point_Calc.!$F$17*F66)), "")</f>
        <v>932.92700000000002</v>
      </c>
      <c r="H66" s="4">
        <f>IF(F65&lt;$D$5, ($C$5)*(Break_Even_Point_Calc.!$D$10+(Break_Even_Point_Calc.!$D$17*F66)), "")</f>
        <v>919.875</v>
      </c>
      <c r="I66" s="17">
        <f t="shared" si="1"/>
        <v>13.052000000000021</v>
      </c>
    </row>
    <row r="67" spans="2:9" x14ac:dyDescent="0.3">
      <c r="B67" s="1"/>
      <c r="C67" s="1"/>
      <c r="D67" s="1"/>
      <c r="E67" s="1"/>
      <c r="F67" s="28">
        <f t="shared" si="0"/>
        <v>62</v>
      </c>
      <c r="G67" s="4">
        <f>IF(F66&lt;$D$5, ($C$5)*(Break_Even_Point_Calc.!$F$10+(Break_Even_Point_Calc.!$F$17*F67)), "")</f>
        <v>941.43399999999997</v>
      </c>
      <c r="H67" s="4">
        <f>IF(F66&lt;$D$5, ($C$5)*(Break_Even_Point_Calc.!$D$10+(Break_Even_Point_Calc.!$D$17*F67)), "")</f>
        <v>934</v>
      </c>
      <c r="I67" s="17">
        <f t="shared" si="1"/>
        <v>7.4339999999999691</v>
      </c>
    </row>
    <row r="68" spans="2:9" x14ac:dyDescent="0.3">
      <c r="B68" s="1"/>
      <c r="C68" s="1"/>
      <c r="D68" s="1"/>
      <c r="E68" s="1"/>
      <c r="F68" s="28">
        <f t="shared" si="0"/>
        <v>63</v>
      </c>
      <c r="G68" s="4">
        <f>IF(F67&lt;$D$5, ($C$5)*(Break_Even_Point_Calc.!$F$10+(Break_Even_Point_Calc.!$F$17*F68)), "")</f>
        <v>949.94100000000003</v>
      </c>
      <c r="H68" s="4">
        <f>IF(F67&lt;$D$5, ($C$5)*(Break_Even_Point_Calc.!$D$10+(Break_Even_Point_Calc.!$D$17*F68)), "")</f>
        <v>948.125</v>
      </c>
      <c r="I68" s="17">
        <f t="shared" si="1"/>
        <v>1.8160000000000309</v>
      </c>
    </row>
    <row r="69" spans="2:9" x14ac:dyDescent="0.3">
      <c r="B69" s="1"/>
      <c r="C69" s="1"/>
      <c r="D69" s="1"/>
      <c r="E69" s="1"/>
      <c r="F69" s="28">
        <f t="shared" si="0"/>
        <v>64</v>
      </c>
      <c r="G69" s="4">
        <f>IF(F68&lt;$D$5, ($C$5)*(Break_Even_Point_Calc.!$F$10+(Break_Even_Point_Calc.!$F$17*F69)), "")</f>
        <v>958.44799999999998</v>
      </c>
      <c r="H69" s="4">
        <f>IF(F68&lt;$D$5, ($C$5)*(Break_Even_Point_Calc.!$D$10+(Break_Even_Point_Calc.!$D$17*F69)), "")</f>
        <v>962.25</v>
      </c>
      <c r="I69" s="17" t="str">
        <f t="shared" si="1"/>
        <v>-3.80 Breakeven Point</v>
      </c>
    </row>
    <row r="70" spans="2:9" x14ac:dyDescent="0.3">
      <c r="B70" s="1"/>
      <c r="C70" s="1"/>
      <c r="D70" s="1"/>
      <c r="E70" s="1"/>
      <c r="F70" s="28">
        <f t="shared" si="0"/>
        <v>65</v>
      </c>
      <c r="G70" s="4">
        <f>IF(F69&lt;$D$5, ($C$5)*(Break_Even_Point_Calc.!$F$10+(Break_Even_Point_Calc.!$F$17*F70)), "")</f>
        <v>966.95499999999993</v>
      </c>
      <c r="H70" s="4">
        <f>IF(F69&lt;$D$5, ($C$5)*(Break_Even_Point_Calc.!$D$10+(Break_Even_Point_Calc.!$D$17*F70)), "")</f>
        <v>976.375</v>
      </c>
      <c r="I70" s="17">
        <f t="shared" si="1"/>
        <v>-9.4200000000000728</v>
      </c>
    </row>
    <row r="71" spans="2:9" x14ac:dyDescent="0.3">
      <c r="B71" s="1"/>
      <c r="C71" s="1"/>
      <c r="D71" s="1"/>
      <c r="E71" s="1"/>
      <c r="F71" s="28">
        <f t="shared" ref="F71:F134" si="2">IF(F70=$D$5,"",F70+1)</f>
        <v>66</v>
      </c>
      <c r="G71" s="4">
        <f>IF(F70&lt;$D$5, ($C$5)*(Break_Even_Point_Calc.!$F$10+(Break_Even_Point_Calc.!$F$17*F71)), "")</f>
        <v>975.46199999999999</v>
      </c>
      <c r="H71" s="4">
        <f>IF(F70&lt;$D$5, ($C$5)*(Break_Even_Point_Calc.!$D$10+(Break_Even_Point_Calc.!$D$17*F71)), "")</f>
        <v>990.5</v>
      </c>
      <c r="I71" s="17">
        <f t="shared" ref="I71:I134" si="3">IF(AND(G71-H71&lt;0,G70-H70&gt;0), TEXT(G71-H71,"0.00") &amp; " Breakeven Point", G71-H71)</f>
        <v>-15.038000000000011</v>
      </c>
    </row>
    <row r="72" spans="2:9" x14ac:dyDescent="0.3">
      <c r="B72" s="1"/>
      <c r="C72" s="1"/>
      <c r="D72" s="1"/>
      <c r="E72" s="1"/>
      <c r="F72" s="28">
        <f t="shared" si="2"/>
        <v>67</v>
      </c>
      <c r="G72" s="4">
        <f>IF(F71&lt;$D$5, ($C$5)*(Break_Even_Point_Calc.!$F$10+(Break_Even_Point_Calc.!$F$17*F72)), "")</f>
        <v>983.96899999999994</v>
      </c>
      <c r="H72" s="4">
        <f>IF(F71&lt;$D$5, ($C$5)*(Break_Even_Point_Calc.!$D$10+(Break_Even_Point_Calc.!$D$17*F72)), "")</f>
        <v>1004.625</v>
      </c>
      <c r="I72" s="17">
        <f t="shared" si="3"/>
        <v>-20.656000000000063</v>
      </c>
    </row>
    <row r="73" spans="2:9" x14ac:dyDescent="0.3">
      <c r="B73" s="1"/>
      <c r="C73" s="1"/>
      <c r="D73" s="1"/>
      <c r="E73" s="1"/>
      <c r="F73" s="28">
        <f t="shared" si="2"/>
        <v>68</v>
      </c>
      <c r="G73" s="4">
        <f>IF(F72&lt;$D$5, ($C$5)*(Break_Even_Point_Calc.!$F$10+(Break_Even_Point_Calc.!$F$17*F73)), "")</f>
        <v>992.476</v>
      </c>
      <c r="H73" s="4">
        <f>IF(F72&lt;$D$5, ($C$5)*(Break_Even_Point_Calc.!$D$10+(Break_Even_Point_Calc.!$D$17*F73)), "")</f>
        <v>1018.75</v>
      </c>
      <c r="I73" s="17">
        <f t="shared" si="3"/>
        <v>-26.274000000000001</v>
      </c>
    </row>
    <row r="74" spans="2:9" x14ac:dyDescent="0.3">
      <c r="B74" s="1"/>
      <c r="C74" s="1"/>
      <c r="D74" s="1"/>
      <c r="E74" s="1"/>
      <c r="F74" s="28">
        <f t="shared" si="2"/>
        <v>69</v>
      </c>
      <c r="G74" s="4">
        <f>IF(F73&lt;$D$5, ($C$5)*(Break_Even_Point_Calc.!$F$10+(Break_Even_Point_Calc.!$F$17*F74)), "")</f>
        <v>1000.9829999999999</v>
      </c>
      <c r="H74" s="4">
        <f>IF(F73&lt;$D$5, ($C$5)*(Break_Even_Point_Calc.!$D$10+(Break_Even_Point_Calc.!$D$17*F74)), "")</f>
        <v>1032.875</v>
      </c>
      <c r="I74" s="17">
        <f t="shared" si="3"/>
        <v>-31.892000000000053</v>
      </c>
    </row>
    <row r="75" spans="2:9" x14ac:dyDescent="0.3">
      <c r="B75" s="1"/>
      <c r="C75" s="1"/>
      <c r="D75" s="1"/>
      <c r="E75" s="1"/>
      <c r="F75" s="28">
        <f t="shared" si="2"/>
        <v>70</v>
      </c>
      <c r="G75" s="4">
        <f>IF(F74&lt;$D$5, ($C$5)*(Break_Even_Point_Calc.!$F$10+(Break_Even_Point_Calc.!$F$17*F75)), "")</f>
        <v>1009.49</v>
      </c>
      <c r="H75" s="4">
        <f>IF(F74&lt;$D$5, ($C$5)*(Break_Even_Point_Calc.!$D$10+(Break_Even_Point_Calc.!$D$17*F75)), "")</f>
        <v>1047</v>
      </c>
      <c r="I75" s="17">
        <f t="shared" si="3"/>
        <v>-37.509999999999991</v>
      </c>
    </row>
    <row r="76" spans="2:9" x14ac:dyDescent="0.3">
      <c r="B76" s="1"/>
      <c r="C76" s="1"/>
      <c r="D76" s="1"/>
      <c r="E76" s="1"/>
      <c r="F76" s="28" t="str">
        <f t="shared" si="2"/>
        <v/>
      </c>
      <c r="G76" s="4" t="str">
        <f>IF(F75&lt;$D$5, ($C$5)*(Break_Even_Point_Calc.!$F$10+(Break_Even_Point_Calc.!$F$17*F76)), "")</f>
        <v/>
      </c>
      <c r="H76" s="4" t="str">
        <f>IF(F75&lt;$D$5, ($C$5)*(Break_Even_Point_Calc.!$D$10+(Break_Even_Point_Calc.!$D$17*F76)), "")</f>
        <v/>
      </c>
      <c r="I76" s="17" t="e">
        <f t="shared" si="3"/>
        <v>#VALUE!</v>
      </c>
    </row>
    <row r="77" spans="2:9" x14ac:dyDescent="0.3">
      <c r="B77" s="1"/>
      <c r="C77" s="1"/>
      <c r="D77" s="1"/>
      <c r="E77" s="1"/>
      <c r="F77" s="28" t="e">
        <f t="shared" si="2"/>
        <v>#VALUE!</v>
      </c>
      <c r="G77" s="4" t="str">
        <f>IF(F76&lt;$D$5, ($C$5)*(Break_Even_Point_Calc.!$F$10+(Break_Even_Point_Calc.!$F$17*F77)), "")</f>
        <v/>
      </c>
      <c r="H77" s="4" t="str">
        <f>IF(F76&lt;$D$5, ($C$5)*(Break_Even_Point_Calc.!$D$10+(Break_Even_Point_Calc.!$D$17*F77)), "")</f>
        <v/>
      </c>
      <c r="I77" s="17" t="e">
        <f t="shared" si="3"/>
        <v>#VALUE!</v>
      </c>
    </row>
    <row r="78" spans="2:9" x14ac:dyDescent="0.3">
      <c r="B78" s="1"/>
      <c r="C78" s="1"/>
      <c r="D78" s="1"/>
      <c r="E78" s="1"/>
      <c r="F78" s="28" t="e">
        <f t="shared" si="2"/>
        <v>#VALUE!</v>
      </c>
      <c r="G78" s="4" t="e">
        <f>IF(F77&lt;$D$5, ($C$5)*(Break_Even_Point_Calc.!$F$10+(Break_Even_Point_Calc.!$F$17*F78)), "")</f>
        <v>#VALUE!</v>
      </c>
      <c r="H78" s="4" t="e">
        <f>IF(F77&lt;$D$5, ($C$5)*(Break_Even_Point_Calc.!$D$10+(Break_Even_Point_Calc.!$D$17*F78)), "")</f>
        <v>#VALUE!</v>
      </c>
      <c r="I78" s="17" t="e">
        <f t="shared" si="3"/>
        <v>#VALUE!</v>
      </c>
    </row>
    <row r="79" spans="2:9" x14ac:dyDescent="0.3">
      <c r="B79" s="1"/>
      <c r="C79" s="1"/>
      <c r="D79" s="1"/>
      <c r="E79" s="1"/>
      <c r="F79" s="28" t="e">
        <f t="shared" si="2"/>
        <v>#VALUE!</v>
      </c>
      <c r="G79" s="4" t="e">
        <f>IF(F78&lt;$D$5, ($C$5)*(Break_Even_Point_Calc.!$F$10+(Break_Even_Point_Calc.!$F$17*F79)), "")</f>
        <v>#VALUE!</v>
      </c>
      <c r="H79" s="4" t="e">
        <f>IF(F78&lt;$D$5, ($C$5)*(Break_Even_Point_Calc.!$D$10+(Break_Even_Point_Calc.!$D$17*F79)), "")</f>
        <v>#VALUE!</v>
      </c>
      <c r="I79" s="17" t="e">
        <f t="shared" si="3"/>
        <v>#VALUE!</v>
      </c>
    </row>
    <row r="80" spans="2:9" x14ac:dyDescent="0.3">
      <c r="B80" s="1"/>
      <c r="C80" s="1"/>
      <c r="D80" s="1"/>
      <c r="E80" s="1"/>
      <c r="F80" s="28" t="e">
        <f t="shared" si="2"/>
        <v>#VALUE!</v>
      </c>
      <c r="G80" s="4" t="e">
        <f>IF(F79&lt;$D$5, ($C$5)*(Break_Even_Point_Calc.!$F$10+(Break_Even_Point_Calc.!$F$17*F80)), "")</f>
        <v>#VALUE!</v>
      </c>
      <c r="H80" s="4" t="e">
        <f>IF(F79&lt;$D$5, ($C$5)*(Break_Even_Point_Calc.!$D$10+(Break_Even_Point_Calc.!$D$17*F80)), "")</f>
        <v>#VALUE!</v>
      </c>
      <c r="I80" s="17" t="e">
        <f t="shared" si="3"/>
        <v>#VALUE!</v>
      </c>
    </row>
    <row r="81" spans="2:9" x14ac:dyDescent="0.3">
      <c r="B81" s="1"/>
      <c r="C81" s="1"/>
      <c r="D81" s="1"/>
      <c r="E81" s="1"/>
      <c r="F81" s="28" t="e">
        <f t="shared" si="2"/>
        <v>#VALUE!</v>
      </c>
      <c r="G81" s="4" t="e">
        <f>IF(F80&lt;$D$5, ($C$5)*(Break_Even_Point_Calc.!$F$10+(Break_Even_Point_Calc.!$F$17*F81)), "")</f>
        <v>#VALUE!</v>
      </c>
      <c r="H81" s="4" t="e">
        <f>IF(F80&lt;$D$5, ($C$5)*(Break_Even_Point_Calc.!$D$10+(Break_Even_Point_Calc.!$D$17*F81)), "")</f>
        <v>#VALUE!</v>
      </c>
      <c r="I81" s="17" t="e">
        <f t="shared" si="3"/>
        <v>#VALUE!</v>
      </c>
    </row>
    <row r="82" spans="2:9" x14ac:dyDescent="0.3">
      <c r="B82" s="1"/>
      <c r="C82" s="1"/>
      <c r="D82" s="1"/>
      <c r="E82" s="1"/>
      <c r="F82" s="28" t="e">
        <f t="shared" si="2"/>
        <v>#VALUE!</v>
      </c>
      <c r="G82" s="4" t="e">
        <f>IF(F81&lt;$D$5, ($C$5)*(Break_Even_Point_Calc.!$F$10+(Break_Even_Point_Calc.!$F$17*F82)), "")</f>
        <v>#VALUE!</v>
      </c>
      <c r="H82" s="4" t="e">
        <f>IF(F81&lt;$D$5, ($C$5)*(Break_Even_Point_Calc.!$D$10+(Break_Even_Point_Calc.!$D$17*F82)), "")</f>
        <v>#VALUE!</v>
      </c>
      <c r="I82" s="17" t="e">
        <f t="shared" si="3"/>
        <v>#VALUE!</v>
      </c>
    </row>
    <row r="83" spans="2:9" x14ac:dyDescent="0.3">
      <c r="B83" s="1"/>
      <c r="C83" s="1"/>
      <c r="D83" s="1"/>
      <c r="E83" s="1"/>
      <c r="F83" s="28" t="e">
        <f t="shared" si="2"/>
        <v>#VALUE!</v>
      </c>
      <c r="G83" s="4" t="e">
        <f>IF(F82&lt;$D$5, ($C$5)*(Break_Even_Point_Calc.!$F$10+(Break_Even_Point_Calc.!$F$17*F83)), "")</f>
        <v>#VALUE!</v>
      </c>
      <c r="H83" s="4" t="e">
        <f>IF(F82&lt;$D$5, ($C$5)*(Break_Even_Point_Calc.!$D$10+(Break_Even_Point_Calc.!$D$17*F83)), "")</f>
        <v>#VALUE!</v>
      </c>
      <c r="I83" s="17" t="e">
        <f t="shared" si="3"/>
        <v>#VALUE!</v>
      </c>
    </row>
    <row r="84" spans="2:9" x14ac:dyDescent="0.3">
      <c r="B84" s="1"/>
      <c r="C84" s="1"/>
      <c r="D84" s="1"/>
      <c r="E84" s="1"/>
      <c r="F84" s="28" t="e">
        <f t="shared" si="2"/>
        <v>#VALUE!</v>
      </c>
      <c r="G84" s="4" t="e">
        <f>IF(F83&lt;$D$5, ($C$5)*(Break_Even_Point_Calc.!$F$10+(Break_Even_Point_Calc.!$F$17*F84)), "")</f>
        <v>#VALUE!</v>
      </c>
      <c r="H84" s="4" t="e">
        <f>IF(F83&lt;$D$5, ($C$5)*(Break_Even_Point_Calc.!$D$10+(Break_Even_Point_Calc.!$D$17*F84)), "")</f>
        <v>#VALUE!</v>
      </c>
      <c r="I84" s="17" t="e">
        <f t="shared" si="3"/>
        <v>#VALUE!</v>
      </c>
    </row>
    <row r="85" spans="2:9" x14ac:dyDescent="0.3">
      <c r="B85" s="1"/>
      <c r="C85" s="1"/>
      <c r="D85" s="1"/>
      <c r="E85" s="1"/>
      <c r="F85" s="28" t="e">
        <f t="shared" si="2"/>
        <v>#VALUE!</v>
      </c>
      <c r="G85" s="4" t="e">
        <f>IF(F84&lt;$D$5, ($C$5)*(Break_Even_Point_Calc.!$F$10+(Break_Even_Point_Calc.!$F$17*F85)), "")</f>
        <v>#VALUE!</v>
      </c>
      <c r="H85" s="4" t="e">
        <f>IF(F84&lt;$D$5, ($C$5)*(Break_Even_Point_Calc.!$D$10+(Break_Even_Point_Calc.!$D$17*F85)), "")</f>
        <v>#VALUE!</v>
      </c>
      <c r="I85" s="17" t="e">
        <f t="shared" si="3"/>
        <v>#VALUE!</v>
      </c>
    </row>
    <row r="86" spans="2:9" x14ac:dyDescent="0.3">
      <c r="B86" s="1"/>
      <c r="C86" s="1"/>
      <c r="D86" s="1"/>
      <c r="E86" s="1"/>
      <c r="F86" s="28" t="e">
        <f t="shared" si="2"/>
        <v>#VALUE!</v>
      </c>
      <c r="G86" s="4" t="e">
        <f>IF(F85&lt;$D$5, ($C$5)*(Break_Even_Point_Calc.!$F$10+(Break_Even_Point_Calc.!$F$17*F86)), "")</f>
        <v>#VALUE!</v>
      </c>
      <c r="H86" s="4" t="e">
        <f>IF(F85&lt;$D$5, ($C$5)*(Break_Even_Point_Calc.!$D$10+(Break_Even_Point_Calc.!$D$17*F86)), "")</f>
        <v>#VALUE!</v>
      </c>
      <c r="I86" s="17" t="e">
        <f t="shared" si="3"/>
        <v>#VALUE!</v>
      </c>
    </row>
    <row r="87" spans="2:9" x14ac:dyDescent="0.3">
      <c r="B87" s="1"/>
      <c r="C87" s="1"/>
      <c r="D87" s="1"/>
      <c r="E87" s="1"/>
      <c r="F87" s="28" t="e">
        <f t="shared" si="2"/>
        <v>#VALUE!</v>
      </c>
      <c r="G87" s="4" t="e">
        <f>IF(F86&lt;$D$5, ($C$5)*(Break_Even_Point_Calc.!$F$10+(Break_Even_Point_Calc.!$F$17*F87)), "")</f>
        <v>#VALUE!</v>
      </c>
      <c r="H87" s="4" t="e">
        <f>IF(F86&lt;$D$5, ($C$5)*(Break_Even_Point_Calc.!$D$10+(Break_Even_Point_Calc.!$D$17*F87)), "")</f>
        <v>#VALUE!</v>
      </c>
      <c r="I87" s="17" t="e">
        <f t="shared" si="3"/>
        <v>#VALUE!</v>
      </c>
    </row>
    <row r="88" spans="2:9" x14ac:dyDescent="0.3">
      <c r="B88" s="1"/>
      <c r="C88" s="1"/>
      <c r="D88" s="1"/>
      <c r="E88" s="1"/>
      <c r="F88" s="28" t="e">
        <f t="shared" si="2"/>
        <v>#VALUE!</v>
      </c>
      <c r="G88" s="4" t="e">
        <f>IF(F87&lt;$D$5, ($C$5)*(Break_Even_Point_Calc.!$F$10+(Break_Even_Point_Calc.!$F$17*F88)), "")</f>
        <v>#VALUE!</v>
      </c>
      <c r="H88" s="4" t="e">
        <f>IF(F87&lt;$D$5, ($C$5)*(Break_Even_Point_Calc.!$D$10+(Break_Even_Point_Calc.!$D$17*F88)), "")</f>
        <v>#VALUE!</v>
      </c>
      <c r="I88" s="17" t="e">
        <f t="shared" si="3"/>
        <v>#VALUE!</v>
      </c>
    </row>
    <row r="89" spans="2:9" x14ac:dyDescent="0.3">
      <c r="B89" s="1"/>
      <c r="C89" s="1"/>
      <c r="D89" s="1"/>
      <c r="E89" s="1"/>
      <c r="F89" s="28" t="e">
        <f t="shared" si="2"/>
        <v>#VALUE!</v>
      </c>
      <c r="G89" s="4" t="e">
        <f>IF(F88&lt;$D$5, ($C$5)*(Break_Even_Point_Calc.!$F$10+(Break_Even_Point_Calc.!$F$17*F89)), "")</f>
        <v>#VALUE!</v>
      </c>
      <c r="H89" s="4" t="e">
        <f>IF(F88&lt;$D$5, ($C$5)*(Break_Even_Point_Calc.!$D$10+(Break_Even_Point_Calc.!$D$17*F89)), "")</f>
        <v>#VALUE!</v>
      </c>
      <c r="I89" s="17" t="e">
        <f t="shared" si="3"/>
        <v>#VALUE!</v>
      </c>
    </row>
    <row r="90" spans="2:9" x14ac:dyDescent="0.3">
      <c r="B90" s="1"/>
      <c r="C90" s="1"/>
      <c r="D90" s="1"/>
      <c r="E90" s="1"/>
      <c r="F90" s="28" t="e">
        <f t="shared" si="2"/>
        <v>#VALUE!</v>
      </c>
      <c r="G90" s="4" t="e">
        <f>IF(F89&lt;$D$5, ($C$5)*(Break_Even_Point_Calc.!$F$10+(Break_Even_Point_Calc.!$F$17*F90)), "")</f>
        <v>#VALUE!</v>
      </c>
      <c r="H90" s="4" t="e">
        <f>IF(F89&lt;$D$5, ($C$5)*(Break_Even_Point_Calc.!$D$10+(Break_Even_Point_Calc.!$D$17*F90)), "")</f>
        <v>#VALUE!</v>
      </c>
      <c r="I90" s="17" t="e">
        <f t="shared" si="3"/>
        <v>#VALUE!</v>
      </c>
    </row>
    <row r="91" spans="2:9" x14ac:dyDescent="0.3">
      <c r="B91" s="1"/>
      <c r="C91" s="1"/>
      <c r="D91" s="1"/>
      <c r="E91" s="1"/>
      <c r="F91" s="28" t="e">
        <f t="shared" si="2"/>
        <v>#VALUE!</v>
      </c>
      <c r="G91" s="4" t="e">
        <f>IF(F90&lt;$D$5, ($C$5)*(Break_Even_Point_Calc.!$F$10+(Break_Even_Point_Calc.!$F$17*F91)), "")</f>
        <v>#VALUE!</v>
      </c>
      <c r="H91" s="4" t="e">
        <f>IF(F90&lt;$D$5, ($C$5)*(Break_Even_Point_Calc.!$D$10+(Break_Even_Point_Calc.!$D$17*F91)), "")</f>
        <v>#VALUE!</v>
      </c>
      <c r="I91" s="17" t="e">
        <f t="shared" si="3"/>
        <v>#VALUE!</v>
      </c>
    </row>
    <row r="92" spans="2:9" x14ac:dyDescent="0.3">
      <c r="B92" s="1"/>
      <c r="C92" s="1"/>
      <c r="D92" s="1"/>
      <c r="E92" s="1"/>
      <c r="F92" s="28" t="e">
        <f t="shared" si="2"/>
        <v>#VALUE!</v>
      </c>
      <c r="G92" s="4" t="e">
        <f>IF(F91&lt;$D$5, ($C$5)*(Break_Even_Point_Calc.!$F$10+(Break_Even_Point_Calc.!$F$17*F92)), "")</f>
        <v>#VALUE!</v>
      </c>
      <c r="H92" s="4" t="e">
        <f>IF(F91&lt;$D$5, ($C$5)*(Break_Even_Point_Calc.!$D$10+(Break_Even_Point_Calc.!$D$17*F92)), "")</f>
        <v>#VALUE!</v>
      </c>
      <c r="I92" s="17" t="e">
        <f t="shared" si="3"/>
        <v>#VALUE!</v>
      </c>
    </row>
    <row r="93" spans="2:9" x14ac:dyDescent="0.3">
      <c r="B93" s="1"/>
      <c r="C93" s="1"/>
      <c r="D93" s="1"/>
      <c r="E93" s="1"/>
      <c r="F93" s="28" t="e">
        <f t="shared" si="2"/>
        <v>#VALUE!</v>
      </c>
      <c r="G93" s="4" t="e">
        <f>IF(F92&lt;$D$5, ($C$5)*(Break_Even_Point_Calc.!$F$10+(Break_Even_Point_Calc.!$F$17*F93)), "")</f>
        <v>#VALUE!</v>
      </c>
      <c r="H93" s="4" t="e">
        <f>IF(F92&lt;$D$5, ($C$5)*(Break_Even_Point_Calc.!$D$10+(Break_Even_Point_Calc.!$D$17*F93)), "")</f>
        <v>#VALUE!</v>
      </c>
      <c r="I93" s="17" t="e">
        <f t="shared" si="3"/>
        <v>#VALUE!</v>
      </c>
    </row>
    <row r="94" spans="2:9" x14ac:dyDescent="0.3">
      <c r="B94" s="1"/>
      <c r="C94" s="1"/>
      <c r="D94" s="1"/>
      <c r="E94" s="1"/>
      <c r="F94" s="28" t="e">
        <f t="shared" si="2"/>
        <v>#VALUE!</v>
      </c>
      <c r="G94" s="4" t="e">
        <f>IF(F93&lt;$D$5, ($C$5)*(Break_Even_Point_Calc.!$F$10+(Break_Even_Point_Calc.!$F$17*F94)), "")</f>
        <v>#VALUE!</v>
      </c>
      <c r="H94" s="4" t="e">
        <f>IF(F93&lt;$D$5, ($C$5)*(Break_Even_Point_Calc.!$D$10+(Break_Even_Point_Calc.!$D$17*F94)), "")</f>
        <v>#VALUE!</v>
      </c>
      <c r="I94" s="17" t="e">
        <f t="shared" si="3"/>
        <v>#VALUE!</v>
      </c>
    </row>
    <row r="95" spans="2:9" x14ac:dyDescent="0.3">
      <c r="B95" s="1"/>
      <c r="C95" s="1"/>
      <c r="D95" s="1"/>
      <c r="E95" s="1"/>
      <c r="F95" s="28" t="e">
        <f t="shared" si="2"/>
        <v>#VALUE!</v>
      </c>
      <c r="G95" s="4" t="e">
        <f>IF(F94&lt;$D$5, ($C$5)*(Break_Even_Point_Calc.!$F$10+(Break_Even_Point_Calc.!$F$17*F95)), "")</f>
        <v>#VALUE!</v>
      </c>
      <c r="H95" s="4" t="e">
        <f>IF(F94&lt;$D$5, ($C$5)*(Break_Even_Point_Calc.!$D$10+(Break_Even_Point_Calc.!$D$17*F95)), "")</f>
        <v>#VALUE!</v>
      </c>
      <c r="I95" s="17" t="e">
        <f t="shared" si="3"/>
        <v>#VALUE!</v>
      </c>
    </row>
    <row r="96" spans="2:9" x14ac:dyDescent="0.3">
      <c r="B96" s="1"/>
      <c r="C96" s="1"/>
      <c r="D96" s="1"/>
      <c r="E96" s="1"/>
      <c r="F96" s="28" t="e">
        <f t="shared" si="2"/>
        <v>#VALUE!</v>
      </c>
      <c r="G96" s="4" t="e">
        <f>IF(F95&lt;$D$5, ($C$5)*(Break_Even_Point_Calc.!$F$10+(Break_Even_Point_Calc.!$F$17*F96)), "")</f>
        <v>#VALUE!</v>
      </c>
      <c r="H96" s="4" t="e">
        <f>IF(F95&lt;$D$5, ($C$5)*(Break_Even_Point_Calc.!$D$10+(Break_Even_Point_Calc.!$D$17*F96)), "")</f>
        <v>#VALUE!</v>
      </c>
      <c r="I96" s="17" t="e">
        <f t="shared" si="3"/>
        <v>#VALUE!</v>
      </c>
    </row>
    <row r="97" spans="2:9" x14ac:dyDescent="0.3">
      <c r="B97" s="1"/>
      <c r="C97" s="1"/>
      <c r="D97" s="1"/>
      <c r="E97" s="1"/>
      <c r="F97" s="28" t="e">
        <f t="shared" si="2"/>
        <v>#VALUE!</v>
      </c>
      <c r="G97" s="4" t="e">
        <f>IF(F96&lt;$D$5, ($C$5)*(Break_Even_Point_Calc.!$F$10+(Break_Even_Point_Calc.!$F$17*F97)), "")</f>
        <v>#VALUE!</v>
      </c>
      <c r="H97" s="4" t="e">
        <f>IF(F96&lt;$D$5, ($C$5)*(Break_Even_Point_Calc.!$D$10+(Break_Even_Point_Calc.!$D$17*F97)), "")</f>
        <v>#VALUE!</v>
      </c>
      <c r="I97" s="17" t="e">
        <f t="shared" si="3"/>
        <v>#VALUE!</v>
      </c>
    </row>
    <row r="98" spans="2:9" x14ac:dyDescent="0.3">
      <c r="B98" s="1"/>
      <c r="C98" s="1"/>
      <c r="D98" s="1"/>
      <c r="E98" s="1"/>
      <c r="F98" s="28" t="e">
        <f t="shared" si="2"/>
        <v>#VALUE!</v>
      </c>
      <c r="G98" s="4" t="e">
        <f>IF(F97&lt;$D$5, ($C$5)*(Break_Even_Point_Calc.!$F$10+(Break_Even_Point_Calc.!$F$17*F98)), "")</f>
        <v>#VALUE!</v>
      </c>
      <c r="H98" s="4" t="e">
        <f>IF(F97&lt;$D$5, ($C$5)*(Break_Even_Point_Calc.!$D$10+(Break_Even_Point_Calc.!$D$17*F98)), "")</f>
        <v>#VALUE!</v>
      </c>
      <c r="I98" s="17" t="e">
        <f t="shared" si="3"/>
        <v>#VALUE!</v>
      </c>
    </row>
    <row r="99" spans="2:9" x14ac:dyDescent="0.3">
      <c r="B99" s="1"/>
      <c r="C99" s="1"/>
      <c r="D99" s="1"/>
      <c r="E99" s="1"/>
      <c r="F99" s="28" t="e">
        <f t="shared" si="2"/>
        <v>#VALUE!</v>
      </c>
      <c r="G99" s="4" t="e">
        <f>IF(F98&lt;$D$5, ($C$5)*(Break_Even_Point_Calc.!$F$10+(Break_Even_Point_Calc.!$F$17*F99)), "")</f>
        <v>#VALUE!</v>
      </c>
      <c r="H99" s="4" t="e">
        <f>IF(F98&lt;$D$5, ($C$5)*(Break_Even_Point_Calc.!$D$10+(Break_Even_Point_Calc.!$D$17*F99)), "")</f>
        <v>#VALUE!</v>
      </c>
      <c r="I99" s="17" t="e">
        <f t="shared" si="3"/>
        <v>#VALUE!</v>
      </c>
    </row>
    <row r="100" spans="2:9" x14ac:dyDescent="0.3">
      <c r="B100" s="1"/>
      <c r="C100" s="1"/>
      <c r="D100" s="1"/>
      <c r="E100" s="1"/>
      <c r="F100" s="28" t="e">
        <f t="shared" si="2"/>
        <v>#VALUE!</v>
      </c>
      <c r="G100" s="4" t="e">
        <f>IF(F99&lt;$D$5, ($C$5)*(Break_Even_Point_Calc.!$F$10+(Break_Even_Point_Calc.!$F$17*F100)), "")</f>
        <v>#VALUE!</v>
      </c>
      <c r="H100" s="4" t="e">
        <f>IF(F99&lt;$D$5, ($C$5)*(Break_Even_Point_Calc.!$D$10+(Break_Even_Point_Calc.!$D$17*F100)), "")</f>
        <v>#VALUE!</v>
      </c>
      <c r="I100" s="17" t="e">
        <f t="shared" si="3"/>
        <v>#VALUE!</v>
      </c>
    </row>
    <row r="101" spans="2:9" x14ac:dyDescent="0.3">
      <c r="B101" s="1"/>
      <c r="C101" s="1"/>
      <c r="D101" s="1"/>
      <c r="E101" s="1"/>
      <c r="F101" s="28" t="e">
        <f t="shared" si="2"/>
        <v>#VALUE!</v>
      </c>
      <c r="G101" s="4" t="e">
        <f>IF(F100&lt;$D$5, ($C$5)*(Break_Even_Point_Calc.!$F$10+(Break_Even_Point_Calc.!$F$17*F101)), "")</f>
        <v>#VALUE!</v>
      </c>
      <c r="H101" s="4" t="e">
        <f>IF(F100&lt;$D$5, ($C$5)*(Break_Even_Point_Calc.!$D$10+(Break_Even_Point_Calc.!$D$17*F101)), "")</f>
        <v>#VALUE!</v>
      </c>
      <c r="I101" s="17" t="e">
        <f t="shared" si="3"/>
        <v>#VALUE!</v>
      </c>
    </row>
    <row r="102" spans="2:9" x14ac:dyDescent="0.3">
      <c r="B102" s="1"/>
      <c r="C102" s="1"/>
      <c r="D102" s="1"/>
      <c r="E102" s="1"/>
      <c r="F102" s="28" t="e">
        <f t="shared" si="2"/>
        <v>#VALUE!</v>
      </c>
      <c r="G102" s="4" t="e">
        <f>IF(F101&lt;$D$5, ($C$5)*(Break_Even_Point_Calc.!$F$10+(Break_Even_Point_Calc.!$F$17*F102)), "")</f>
        <v>#VALUE!</v>
      </c>
      <c r="H102" s="4" t="e">
        <f>IF(F101&lt;$D$5, ($C$5)*(Break_Even_Point_Calc.!$D$10+(Break_Even_Point_Calc.!$D$17*F102)), "")</f>
        <v>#VALUE!</v>
      </c>
      <c r="I102" s="17" t="e">
        <f t="shared" si="3"/>
        <v>#VALUE!</v>
      </c>
    </row>
    <row r="103" spans="2:9" x14ac:dyDescent="0.3">
      <c r="B103" s="1"/>
      <c r="C103" s="1"/>
      <c r="D103" s="1"/>
      <c r="E103" s="1"/>
      <c r="F103" s="28" t="e">
        <f t="shared" si="2"/>
        <v>#VALUE!</v>
      </c>
      <c r="G103" s="4" t="e">
        <f>IF(F102&lt;$D$5, ($C$5)*(Break_Even_Point_Calc.!$F$10+(Break_Even_Point_Calc.!$F$17*F103)), "")</f>
        <v>#VALUE!</v>
      </c>
      <c r="H103" s="4" t="e">
        <f>IF(F102&lt;$D$5, ($C$5)*(Break_Even_Point_Calc.!$D$10+(Break_Even_Point_Calc.!$D$17*F103)), "")</f>
        <v>#VALUE!</v>
      </c>
      <c r="I103" s="17" t="e">
        <f t="shared" si="3"/>
        <v>#VALUE!</v>
      </c>
    </row>
    <row r="104" spans="2:9" x14ac:dyDescent="0.3">
      <c r="B104" s="1"/>
      <c r="C104" s="1"/>
      <c r="D104" s="1"/>
      <c r="E104" s="1"/>
      <c r="F104" s="28" t="e">
        <f t="shared" si="2"/>
        <v>#VALUE!</v>
      </c>
      <c r="G104" s="4" t="e">
        <f>IF(F103&lt;$D$5, ($C$5)*(Break_Even_Point_Calc.!$F$10+(Break_Even_Point_Calc.!$F$17*F104)), "")</f>
        <v>#VALUE!</v>
      </c>
      <c r="H104" s="4" t="e">
        <f>IF(F103&lt;$D$5, ($C$5)*(Break_Even_Point_Calc.!$D$10+(Break_Even_Point_Calc.!$D$17*F104)), "")</f>
        <v>#VALUE!</v>
      </c>
      <c r="I104" s="17" t="e">
        <f t="shared" si="3"/>
        <v>#VALUE!</v>
      </c>
    </row>
    <row r="105" spans="2:9" x14ac:dyDescent="0.3">
      <c r="B105" s="1"/>
      <c r="C105" s="1"/>
      <c r="D105" s="1"/>
      <c r="E105" s="1"/>
      <c r="F105" s="28" t="e">
        <f t="shared" si="2"/>
        <v>#VALUE!</v>
      </c>
      <c r="G105" s="4" t="e">
        <f>IF(F104&lt;$D$5, ($C$5)*(Break_Even_Point_Calc.!$F$10+(Break_Even_Point_Calc.!$F$17*F105)), "")</f>
        <v>#VALUE!</v>
      </c>
      <c r="H105" s="4" t="e">
        <f>IF(F104&lt;$D$5, ($C$5)*(Break_Even_Point_Calc.!$D$10+(Break_Even_Point_Calc.!$D$17*F105)), "")</f>
        <v>#VALUE!</v>
      </c>
      <c r="I105" s="17" t="e">
        <f t="shared" si="3"/>
        <v>#VALUE!</v>
      </c>
    </row>
    <row r="106" spans="2:9" x14ac:dyDescent="0.3">
      <c r="B106" s="1"/>
      <c r="C106" s="1"/>
      <c r="D106" s="1"/>
      <c r="E106" s="1"/>
      <c r="F106" s="28" t="e">
        <f t="shared" si="2"/>
        <v>#VALUE!</v>
      </c>
      <c r="G106" s="4" t="e">
        <f>IF(F105&lt;$D$5, ($C$5)*(Break_Even_Point_Calc.!$F$10+(Break_Even_Point_Calc.!$F$17*F106)), "")</f>
        <v>#VALUE!</v>
      </c>
      <c r="H106" s="4" t="e">
        <f>IF(F105&lt;$D$5, ($C$5)*(Break_Even_Point_Calc.!$D$10+(Break_Even_Point_Calc.!$D$17*F106)), "")</f>
        <v>#VALUE!</v>
      </c>
      <c r="I106" s="17" t="e">
        <f t="shared" si="3"/>
        <v>#VALUE!</v>
      </c>
    </row>
    <row r="107" spans="2:9" x14ac:dyDescent="0.3">
      <c r="B107" s="1"/>
      <c r="C107" s="1"/>
      <c r="D107" s="1"/>
      <c r="E107" s="1"/>
      <c r="F107" s="28" t="e">
        <f t="shared" si="2"/>
        <v>#VALUE!</v>
      </c>
      <c r="G107" s="4" t="e">
        <f>IF(F106&lt;$D$5, ($C$5)*(Break_Even_Point_Calc.!$F$10+(Break_Even_Point_Calc.!$F$17*F107)), "")</f>
        <v>#VALUE!</v>
      </c>
      <c r="H107" s="4" t="e">
        <f>IF(F106&lt;$D$5, ($C$5)*(Break_Even_Point_Calc.!$D$10+(Break_Even_Point_Calc.!$D$17*F107)), "")</f>
        <v>#VALUE!</v>
      </c>
      <c r="I107" s="17" t="e">
        <f t="shared" si="3"/>
        <v>#VALUE!</v>
      </c>
    </row>
    <row r="108" spans="2:9" x14ac:dyDescent="0.3">
      <c r="B108" s="1"/>
      <c r="C108" s="1"/>
      <c r="D108" s="1"/>
      <c r="E108" s="1"/>
      <c r="F108" s="28" t="e">
        <f t="shared" si="2"/>
        <v>#VALUE!</v>
      </c>
      <c r="G108" s="4" t="e">
        <f>IF(F107&lt;$D$5, ($C$5)*(Break_Even_Point_Calc.!$F$10+(Break_Even_Point_Calc.!$F$17*F108)), "")</f>
        <v>#VALUE!</v>
      </c>
      <c r="H108" s="4" t="e">
        <f>IF(F107&lt;$D$5, ($C$5)*(Break_Even_Point_Calc.!$D$10+(Break_Even_Point_Calc.!$D$17*F108)), "")</f>
        <v>#VALUE!</v>
      </c>
      <c r="I108" s="17" t="e">
        <f t="shared" si="3"/>
        <v>#VALUE!</v>
      </c>
    </row>
    <row r="109" spans="2:9" x14ac:dyDescent="0.3">
      <c r="B109" s="1"/>
      <c r="C109" s="1"/>
      <c r="D109" s="1"/>
      <c r="E109" s="1"/>
      <c r="F109" s="28" t="e">
        <f t="shared" si="2"/>
        <v>#VALUE!</v>
      </c>
      <c r="G109" s="4" t="e">
        <f>IF(F108&lt;$D$5, ($C$5)*(Break_Even_Point_Calc.!$F$10+(Break_Even_Point_Calc.!$F$17*F109)), "")</f>
        <v>#VALUE!</v>
      </c>
      <c r="H109" s="4" t="e">
        <f>IF(F108&lt;$D$5, ($C$5)*(Break_Even_Point_Calc.!$D$10+(Break_Even_Point_Calc.!$D$17*F109)), "")</f>
        <v>#VALUE!</v>
      </c>
      <c r="I109" s="17" t="e">
        <f t="shared" si="3"/>
        <v>#VALUE!</v>
      </c>
    </row>
    <row r="110" spans="2:9" x14ac:dyDescent="0.3">
      <c r="B110" s="1"/>
      <c r="C110" s="1"/>
      <c r="D110" s="1"/>
      <c r="E110" s="1"/>
      <c r="F110" s="28" t="e">
        <f t="shared" si="2"/>
        <v>#VALUE!</v>
      </c>
      <c r="G110" s="4" t="e">
        <f>IF(F109&lt;$D$5, ($C$5)*(Break_Even_Point_Calc.!$F$10+(Break_Even_Point_Calc.!$F$17*F110)), "")</f>
        <v>#VALUE!</v>
      </c>
      <c r="H110" s="4" t="e">
        <f>IF(F109&lt;$D$5, ($C$5)*(Break_Even_Point_Calc.!$D$10+(Break_Even_Point_Calc.!$D$17*F110)), "")</f>
        <v>#VALUE!</v>
      </c>
      <c r="I110" s="17" t="e">
        <f t="shared" si="3"/>
        <v>#VALUE!</v>
      </c>
    </row>
    <row r="111" spans="2:9" x14ac:dyDescent="0.3">
      <c r="B111" s="1"/>
      <c r="C111" s="1"/>
      <c r="D111" s="1"/>
      <c r="E111" s="1"/>
      <c r="F111" s="28" t="e">
        <f t="shared" si="2"/>
        <v>#VALUE!</v>
      </c>
      <c r="G111" s="4" t="e">
        <f>IF(F110&lt;$D$5, ($C$5)*(Break_Even_Point_Calc.!$F$10+(Break_Even_Point_Calc.!$F$17*F111)), "")</f>
        <v>#VALUE!</v>
      </c>
      <c r="H111" s="4" t="e">
        <f>IF(F110&lt;$D$5, ($C$5)*(Break_Even_Point_Calc.!$D$10+(Break_Even_Point_Calc.!$D$17*F111)), "")</f>
        <v>#VALUE!</v>
      </c>
      <c r="I111" s="17" t="e">
        <f t="shared" si="3"/>
        <v>#VALUE!</v>
      </c>
    </row>
    <row r="112" spans="2:9" x14ac:dyDescent="0.3">
      <c r="B112" s="1"/>
      <c r="C112" s="1"/>
      <c r="D112" s="1"/>
      <c r="E112" s="1"/>
      <c r="F112" s="28" t="e">
        <f t="shared" si="2"/>
        <v>#VALUE!</v>
      </c>
      <c r="G112" s="4" t="e">
        <f>IF(F111&lt;$D$5, ($C$5)*(Break_Even_Point_Calc.!$F$10+(Break_Even_Point_Calc.!$F$17*F112)), "")</f>
        <v>#VALUE!</v>
      </c>
      <c r="H112" s="4" t="e">
        <f>IF(F111&lt;$D$5, ($C$5)*(Break_Even_Point_Calc.!$D$10+(Break_Even_Point_Calc.!$D$17*F112)), "")</f>
        <v>#VALUE!</v>
      </c>
      <c r="I112" s="17" t="e">
        <f t="shared" si="3"/>
        <v>#VALUE!</v>
      </c>
    </row>
    <row r="113" spans="2:9" x14ac:dyDescent="0.3">
      <c r="B113" s="1"/>
      <c r="C113" s="1"/>
      <c r="D113" s="1"/>
      <c r="E113" s="1"/>
      <c r="F113" s="28" t="e">
        <f t="shared" si="2"/>
        <v>#VALUE!</v>
      </c>
      <c r="G113" s="4" t="e">
        <f>IF(F112&lt;$D$5, ($C$5)*(Break_Even_Point_Calc.!$F$10+(Break_Even_Point_Calc.!$F$17*F113)), "")</f>
        <v>#VALUE!</v>
      </c>
      <c r="H113" s="4" t="e">
        <f>IF(F112&lt;$D$5, ($C$5)*(Break_Even_Point_Calc.!$D$10+(Break_Even_Point_Calc.!$D$17*F113)), "")</f>
        <v>#VALUE!</v>
      </c>
      <c r="I113" s="17" t="e">
        <f t="shared" si="3"/>
        <v>#VALUE!</v>
      </c>
    </row>
    <row r="114" spans="2:9" x14ac:dyDescent="0.3">
      <c r="B114" s="1"/>
      <c r="C114" s="1"/>
      <c r="D114" s="1"/>
      <c r="E114" s="1"/>
      <c r="F114" s="28" t="e">
        <f t="shared" si="2"/>
        <v>#VALUE!</v>
      </c>
      <c r="G114" s="4" t="e">
        <f>IF(F113&lt;$D$5, ($C$5)*(Break_Even_Point_Calc.!$F$10+(Break_Even_Point_Calc.!$F$17*F114)), "")</f>
        <v>#VALUE!</v>
      </c>
      <c r="H114" s="4" t="e">
        <f>IF(F113&lt;$D$5, ($C$5)*(Break_Even_Point_Calc.!$D$10+(Break_Even_Point_Calc.!$D$17*F114)), "")</f>
        <v>#VALUE!</v>
      </c>
      <c r="I114" s="17" t="e">
        <f t="shared" si="3"/>
        <v>#VALUE!</v>
      </c>
    </row>
    <row r="115" spans="2:9" x14ac:dyDescent="0.3">
      <c r="B115" s="1"/>
      <c r="C115" s="1"/>
      <c r="D115" s="1"/>
      <c r="E115" s="1"/>
      <c r="F115" s="28" t="e">
        <f t="shared" si="2"/>
        <v>#VALUE!</v>
      </c>
      <c r="G115" s="4" t="e">
        <f>IF(F114&lt;$D$5, ($C$5)*(Break_Even_Point_Calc.!$F$10+(Break_Even_Point_Calc.!$F$17*F115)), "")</f>
        <v>#VALUE!</v>
      </c>
      <c r="H115" s="4" t="e">
        <f>IF(F114&lt;$D$5, ($C$5)*(Break_Even_Point_Calc.!$D$10+(Break_Even_Point_Calc.!$D$17*F115)), "")</f>
        <v>#VALUE!</v>
      </c>
      <c r="I115" s="17" t="e">
        <f t="shared" si="3"/>
        <v>#VALUE!</v>
      </c>
    </row>
    <row r="116" spans="2:9" x14ac:dyDescent="0.3">
      <c r="B116" s="1"/>
      <c r="C116" s="1"/>
      <c r="D116" s="1"/>
      <c r="E116" s="1"/>
      <c r="F116" s="28" t="e">
        <f t="shared" si="2"/>
        <v>#VALUE!</v>
      </c>
      <c r="G116" s="4" t="e">
        <f>IF(F115&lt;$D$5, ($C$5)*(Break_Even_Point_Calc.!$F$10+(Break_Even_Point_Calc.!$F$17*F116)), "")</f>
        <v>#VALUE!</v>
      </c>
      <c r="H116" s="4" t="e">
        <f>IF(F115&lt;$D$5, ($C$5)*(Break_Even_Point_Calc.!$D$10+(Break_Even_Point_Calc.!$D$17*F116)), "")</f>
        <v>#VALUE!</v>
      </c>
      <c r="I116" s="17" t="e">
        <f t="shared" si="3"/>
        <v>#VALUE!</v>
      </c>
    </row>
    <row r="117" spans="2:9" x14ac:dyDescent="0.3">
      <c r="B117" s="1"/>
      <c r="C117" s="1"/>
      <c r="D117" s="1"/>
      <c r="E117" s="1"/>
      <c r="F117" s="28" t="e">
        <f t="shared" si="2"/>
        <v>#VALUE!</v>
      </c>
      <c r="G117" s="4" t="e">
        <f>IF(F116&lt;$D$5, ($C$5)*(Break_Even_Point_Calc.!$F$10+(Break_Even_Point_Calc.!$F$17*F117)), "")</f>
        <v>#VALUE!</v>
      </c>
      <c r="H117" s="4" t="e">
        <f>IF(F116&lt;$D$5, ($C$5)*(Break_Even_Point_Calc.!$D$10+(Break_Even_Point_Calc.!$D$17*F117)), "")</f>
        <v>#VALUE!</v>
      </c>
      <c r="I117" s="17" t="e">
        <f t="shared" si="3"/>
        <v>#VALUE!</v>
      </c>
    </row>
    <row r="118" spans="2:9" x14ac:dyDescent="0.3">
      <c r="B118" s="1"/>
      <c r="C118" s="1"/>
      <c r="D118" s="1"/>
      <c r="E118" s="1"/>
      <c r="F118" s="28" t="e">
        <f t="shared" si="2"/>
        <v>#VALUE!</v>
      </c>
      <c r="G118" s="4" t="e">
        <f>IF(F117&lt;$D$5, ($C$5)*(Break_Even_Point_Calc.!$F$10+(Break_Even_Point_Calc.!$F$17*F118)), "")</f>
        <v>#VALUE!</v>
      </c>
      <c r="H118" s="4" t="e">
        <f>IF(F117&lt;$D$5, ($C$5)*(Break_Even_Point_Calc.!$D$10+(Break_Even_Point_Calc.!$D$17*F118)), "")</f>
        <v>#VALUE!</v>
      </c>
      <c r="I118" s="17" t="e">
        <f t="shared" si="3"/>
        <v>#VALUE!</v>
      </c>
    </row>
    <row r="119" spans="2:9" x14ac:dyDescent="0.3">
      <c r="B119" s="1"/>
      <c r="C119" s="1"/>
      <c r="D119" s="1"/>
      <c r="E119" s="1"/>
      <c r="F119" s="28" t="e">
        <f t="shared" si="2"/>
        <v>#VALUE!</v>
      </c>
      <c r="G119" s="4" t="e">
        <f>IF(F118&lt;$D$5, ($C$5)*(Break_Even_Point_Calc.!$F$10+(Break_Even_Point_Calc.!$F$17*F119)), "")</f>
        <v>#VALUE!</v>
      </c>
      <c r="H119" s="4" t="e">
        <f>IF(F118&lt;$D$5, ($C$5)*(Break_Even_Point_Calc.!$D$10+(Break_Even_Point_Calc.!$D$17*F119)), "")</f>
        <v>#VALUE!</v>
      </c>
      <c r="I119" s="17" t="e">
        <f t="shared" si="3"/>
        <v>#VALUE!</v>
      </c>
    </row>
    <row r="120" spans="2:9" x14ac:dyDescent="0.3">
      <c r="B120" s="1"/>
      <c r="C120" s="1"/>
      <c r="D120" s="1"/>
      <c r="E120" s="1"/>
      <c r="F120" s="28" t="e">
        <f t="shared" si="2"/>
        <v>#VALUE!</v>
      </c>
      <c r="G120" s="4" t="e">
        <f>IF(F119&lt;$D$5, ($C$5)*(Break_Even_Point_Calc.!$F$10+(Break_Even_Point_Calc.!$F$17*F120)), "")</f>
        <v>#VALUE!</v>
      </c>
      <c r="H120" s="4" t="e">
        <f>IF(F119&lt;$D$5, ($C$5)*(Break_Even_Point_Calc.!$D$10+(Break_Even_Point_Calc.!$D$17*F120)), "")</f>
        <v>#VALUE!</v>
      </c>
      <c r="I120" s="17" t="e">
        <f t="shared" si="3"/>
        <v>#VALUE!</v>
      </c>
    </row>
    <row r="121" spans="2:9" x14ac:dyDescent="0.3">
      <c r="B121" s="1"/>
      <c r="C121" s="1"/>
      <c r="D121" s="1"/>
      <c r="E121" s="1"/>
      <c r="F121" s="28" t="e">
        <f t="shared" si="2"/>
        <v>#VALUE!</v>
      </c>
      <c r="G121" s="4" t="e">
        <f>IF(F120&lt;$D$5, ($C$5)*(Break_Even_Point_Calc.!$F$10+(Break_Even_Point_Calc.!$F$17*F121)), "")</f>
        <v>#VALUE!</v>
      </c>
      <c r="H121" s="4" t="e">
        <f>IF(F120&lt;$D$5, ($C$5)*(Break_Even_Point_Calc.!$D$10+(Break_Even_Point_Calc.!$D$17*F121)), "")</f>
        <v>#VALUE!</v>
      </c>
      <c r="I121" s="17" t="e">
        <f t="shared" si="3"/>
        <v>#VALUE!</v>
      </c>
    </row>
    <row r="122" spans="2:9" x14ac:dyDescent="0.3">
      <c r="B122" s="1"/>
      <c r="C122" s="1"/>
      <c r="D122" s="1"/>
      <c r="E122" s="1"/>
      <c r="F122" s="28" t="e">
        <f t="shared" si="2"/>
        <v>#VALUE!</v>
      </c>
      <c r="G122" s="4" t="e">
        <f>IF(F121&lt;$D$5, ($C$5)*(Break_Even_Point_Calc.!$F$10+(Break_Even_Point_Calc.!$F$17*F122)), "")</f>
        <v>#VALUE!</v>
      </c>
      <c r="H122" s="4" t="e">
        <f>IF(F121&lt;$D$5, ($C$5)*(Break_Even_Point_Calc.!$D$10+(Break_Even_Point_Calc.!$D$17*F122)), "")</f>
        <v>#VALUE!</v>
      </c>
      <c r="I122" s="17" t="e">
        <f t="shared" si="3"/>
        <v>#VALUE!</v>
      </c>
    </row>
    <row r="123" spans="2:9" x14ac:dyDescent="0.3">
      <c r="B123" s="1"/>
      <c r="C123" s="1"/>
      <c r="D123" s="1"/>
      <c r="E123" s="1"/>
      <c r="F123" s="28" t="e">
        <f t="shared" si="2"/>
        <v>#VALUE!</v>
      </c>
      <c r="G123" s="4" t="e">
        <f>IF(F122&lt;$D$5, ($C$5)*(Break_Even_Point_Calc.!$F$10+(Break_Even_Point_Calc.!$F$17*F123)), "")</f>
        <v>#VALUE!</v>
      </c>
      <c r="H123" s="4" t="e">
        <f>IF(F122&lt;$D$5, ($C$5)*(Break_Even_Point_Calc.!$D$10+(Break_Even_Point_Calc.!$D$17*F123)), "")</f>
        <v>#VALUE!</v>
      </c>
      <c r="I123" s="17" t="e">
        <f t="shared" si="3"/>
        <v>#VALUE!</v>
      </c>
    </row>
    <row r="124" spans="2:9" x14ac:dyDescent="0.3">
      <c r="B124" s="1"/>
      <c r="C124" s="1"/>
      <c r="D124" s="1"/>
      <c r="E124" s="1"/>
      <c r="F124" s="28" t="e">
        <f t="shared" si="2"/>
        <v>#VALUE!</v>
      </c>
      <c r="G124" s="4" t="e">
        <f>IF(F123&lt;$D$5, ($C$5)*(Break_Even_Point_Calc.!$F$10+(Break_Even_Point_Calc.!$F$17*F124)), "")</f>
        <v>#VALUE!</v>
      </c>
      <c r="H124" s="4" t="e">
        <f>IF(F123&lt;$D$5, ($C$5)*(Break_Even_Point_Calc.!$D$10+(Break_Even_Point_Calc.!$D$17*F124)), "")</f>
        <v>#VALUE!</v>
      </c>
      <c r="I124" s="17" t="e">
        <f t="shared" si="3"/>
        <v>#VALUE!</v>
      </c>
    </row>
    <row r="125" spans="2:9" x14ac:dyDescent="0.3">
      <c r="B125" s="1"/>
      <c r="C125" s="1"/>
      <c r="D125" s="1"/>
      <c r="E125" s="1"/>
      <c r="F125" s="28" t="e">
        <f t="shared" si="2"/>
        <v>#VALUE!</v>
      </c>
      <c r="G125" s="4" t="e">
        <f>IF(F124&lt;$D$5, ($C$5)*(Break_Even_Point_Calc.!$F$10+(Break_Even_Point_Calc.!$F$17*F125)), "")</f>
        <v>#VALUE!</v>
      </c>
      <c r="H125" s="4" t="e">
        <f>IF(F124&lt;$D$5, ($C$5)*(Break_Even_Point_Calc.!$D$10+(Break_Even_Point_Calc.!$D$17*F125)), "")</f>
        <v>#VALUE!</v>
      </c>
      <c r="I125" s="17" t="e">
        <f t="shared" si="3"/>
        <v>#VALUE!</v>
      </c>
    </row>
    <row r="126" spans="2:9" x14ac:dyDescent="0.3">
      <c r="B126" s="1"/>
      <c r="C126" s="1"/>
      <c r="D126" s="1"/>
      <c r="E126" s="1"/>
      <c r="F126" s="28" t="e">
        <f t="shared" si="2"/>
        <v>#VALUE!</v>
      </c>
      <c r="G126" s="4" t="e">
        <f>IF(F125&lt;$D$5, ($C$5)*(Break_Even_Point_Calc.!$F$10+(Break_Even_Point_Calc.!$F$17*F126)), "")</f>
        <v>#VALUE!</v>
      </c>
      <c r="H126" s="4" t="e">
        <f>IF(F125&lt;$D$5, ($C$5)*(Break_Even_Point_Calc.!$D$10+(Break_Even_Point_Calc.!$D$17*F126)), "")</f>
        <v>#VALUE!</v>
      </c>
      <c r="I126" s="17" t="e">
        <f t="shared" si="3"/>
        <v>#VALUE!</v>
      </c>
    </row>
    <row r="127" spans="2:9" x14ac:dyDescent="0.3">
      <c r="B127" s="1"/>
      <c r="C127" s="1"/>
      <c r="D127" s="1"/>
      <c r="E127" s="1"/>
      <c r="F127" s="28" t="e">
        <f t="shared" si="2"/>
        <v>#VALUE!</v>
      </c>
      <c r="G127" s="4" t="e">
        <f>IF(F126&lt;$D$5, ($C$5)*(Break_Even_Point_Calc.!$F$10+(Break_Even_Point_Calc.!$F$17*F127)), "")</f>
        <v>#VALUE!</v>
      </c>
      <c r="H127" s="4" t="e">
        <f>IF(F126&lt;$D$5, ($C$5)*(Break_Even_Point_Calc.!$D$10+(Break_Even_Point_Calc.!$D$17*F127)), "")</f>
        <v>#VALUE!</v>
      </c>
      <c r="I127" s="17" t="e">
        <f t="shared" si="3"/>
        <v>#VALUE!</v>
      </c>
    </row>
    <row r="128" spans="2:9" x14ac:dyDescent="0.3">
      <c r="B128" s="1"/>
      <c r="C128" s="1"/>
      <c r="D128" s="1"/>
      <c r="E128" s="1"/>
      <c r="F128" s="28" t="e">
        <f t="shared" si="2"/>
        <v>#VALUE!</v>
      </c>
      <c r="G128" s="4" t="e">
        <f>IF(F127&lt;$D$5, ($C$5)*(Break_Even_Point_Calc.!$F$10+(Break_Even_Point_Calc.!$F$17*F128)), "")</f>
        <v>#VALUE!</v>
      </c>
      <c r="H128" s="4" t="e">
        <f>IF(F127&lt;$D$5, ($C$5)*(Break_Even_Point_Calc.!$D$10+(Break_Even_Point_Calc.!$D$17*F128)), "")</f>
        <v>#VALUE!</v>
      </c>
      <c r="I128" s="17" t="e">
        <f t="shared" si="3"/>
        <v>#VALUE!</v>
      </c>
    </row>
    <row r="129" spans="2:9" x14ac:dyDescent="0.3">
      <c r="B129" s="1"/>
      <c r="C129" s="1"/>
      <c r="D129" s="1"/>
      <c r="E129" s="1"/>
      <c r="F129" s="28" t="e">
        <f t="shared" si="2"/>
        <v>#VALUE!</v>
      </c>
      <c r="G129" s="4" t="e">
        <f>IF(F128&lt;$D$5, ($C$5)*(Break_Even_Point_Calc.!$F$10+(Break_Even_Point_Calc.!$F$17*F129)), "")</f>
        <v>#VALUE!</v>
      </c>
      <c r="H129" s="4" t="e">
        <f>IF(F128&lt;$D$5, ($C$5)*(Break_Even_Point_Calc.!$D$10+(Break_Even_Point_Calc.!$D$17*F129)), "")</f>
        <v>#VALUE!</v>
      </c>
      <c r="I129" s="17" t="e">
        <f t="shared" si="3"/>
        <v>#VALUE!</v>
      </c>
    </row>
    <row r="130" spans="2:9" x14ac:dyDescent="0.3">
      <c r="B130" s="1"/>
      <c r="C130" s="1"/>
      <c r="D130" s="1"/>
      <c r="E130" s="1"/>
      <c r="F130" s="28" t="e">
        <f t="shared" si="2"/>
        <v>#VALUE!</v>
      </c>
      <c r="G130" s="4" t="e">
        <f>IF(F129&lt;$D$5, ($C$5)*(Break_Even_Point_Calc.!$F$10+(Break_Even_Point_Calc.!$F$17*F130)), "")</f>
        <v>#VALUE!</v>
      </c>
      <c r="H130" s="4" t="e">
        <f>IF(F129&lt;$D$5, ($C$5)*(Break_Even_Point_Calc.!$D$10+(Break_Even_Point_Calc.!$D$17*F130)), "")</f>
        <v>#VALUE!</v>
      </c>
      <c r="I130" s="17" t="e">
        <f t="shared" si="3"/>
        <v>#VALUE!</v>
      </c>
    </row>
    <row r="131" spans="2:9" x14ac:dyDescent="0.3">
      <c r="B131" s="1"/>
      <c r="C131" s="1"/>
      <c r="D131" s="1"/>
      <c r="E131" s="1"/>
      <c r="F131" s="28" t="e">
        <f t="shared" si="2"/>
        <v>#VALUE!</v>
      </c>
      <c r="G131" s="4" t="e">
        <f>IF(F130&lt;$D$5, ($C$5)*(Break_Even_Point_Calc.!$F$10+(Break_Even_Point_Calc.!$F$17*F131)), "")</f>
        <v>#VALUE!</v>
      </c>
      <c r="H131" s="4" t="e">
        <f>IF(F130&lt;$D$5, ($C$5)*(Break_Even_Point_Calc.!$D$10+(Break_Even_Point_Calc.!$D$17*F131)), "")</f>
        <v>#VALUE!</v>
      </c>
      <c r="I131" s="17" t="e">
        <f t="shared" si="3"/>
        <v>#VALUE!</v>
      </c>
    </row>
    <row r="132" spans="2:9" x14ac:dyDescent="0.3">
      <c r="B132" s="1"/>
      <c r="C132" s="1"/>
      <c r="D132" s="1"/>
      <c r="E132" s="1"/>
      <c r="F132" s="28" t="e">
        <f t="shared" si="2"/>
        <v>#VALUE!</v>
      </c>
      <c r="G132" s="4" t="e">
        <f>IF(F131&lt;$D$5, ($C$5)*(Break_Even_Point_Calc.!$F$10+(Break_Even_Point_Calc.!$F$17*F132)), "")</f>
        <v>#VALUE!</v>
      </c>
      <c r="H132" s="4" t="e">
        <f>IF(F131&lt;$D$5, ($C$5)*(Break_Even_Point_Calc.!$D$10+(Break_Even_Point_Calc.!$D$17*F132)), "")</f>
        <v>#VALUE!</v>
      </c>
      <c r="I132" s="17" t="e">
        <f t="shared" si="3"/>
        <v>#VALUE!</v>
      </c>
    </row>
    <row r="133" spans="2:9" x14ac:dyDescent="0.3">
      <c r="B133" s="1"/>
      <c r="C133" s="1"/>
      <c r="D133" s="1"/>
      <c r="E133" s="1"/>
      <c r="F133" s="28" t="e">
        <f t="shared" si="2"/>
        <v>#VALUE!</v>
      </c>
      <c r="G133" s="4" t="e">
        <f>IF(F132&lt;$D$5, ($C$5)*(Break_Even_Point_Calc.!$F$10+(Break_Even_Point_Calc.!$F$17*F133)), "")</f>
        <v>#VALUE!</v>
      </c>
      <c r="H133" s="4" t="e">
        <f>IF(F132&lt;$D$5, ($C$5)*(Break_Even_Point_Calc.!$D$10+(Break_Even_Point_Calc.!$D$17*F133)), "")</f>
        <v>#VALUE!</v>
      </c>
      <c r="I133" s="17" t="e">
        <f t="shared" si="3"/>
        <v>#VALUE!</v>
      </c>
    </row>
    <row r="134" spans="2:9" x14ac:dyDescent="0.3">
      <c r="B134" s="1"/>
      <c r="C134" s="1"/>
      <c r="D134" s="1"/>
      <c r="E134" s="1"/>
      <c r="F134" s="28" t="e">
        <f t="shared" si="2"/>
        <v>#VALUE!</v>
      </c>
      <c r="G134" s="4" t="e">
        <f>IF(F133&lt;$D$5, ($C$5)*(Break_Even_Point_Calc.!$F$10+(Break_Even_Point_Calc.!$F$17*F134)), "")</f>
        <v>#VALUE!</v>
      </c>
      <c r="H134" s="4" t="e">
        <f>IF(F133&lt;$D$5, ($C$5)*(Break_Even_Point_Calc.!$D$10+(Break_Even_Point_Calc.!$D$17*F134)), "")</f>
        <v>#VALUE!</v>
      </c>
      <c r="I134" s="17" t="e">
        <f t="shared" si="3"/>
        <v>#VALUE!</v>
      </c>
    </row>
    <row r="135" spans="2:9" x14ac:dyDescent="0.3">
      <c r="B135" s="1"/>
      <c r="C135" s="1"/>
      <c r="D135" s="1"/>
      <c r="E135" s="1"/>
      <c r="F135" s="28" t="e">
        <f t="shared" ref="F135:F198" si="4">IF(F134=$D$5,"",F134+1)</f>
        <v>#VALUE!</v>
      </c>
      <c r="G135" s="4" t="e">
        <f>IF(F134&lt;$D$5, ($C$5)*(Break_Even_Point_Calc.!$F$10+(Break_Even_Point_Calc.!$F$17*F135)), "")</f>
        <v>#VALUE!</v>
      </c>
      <c r="H135" s="4" t="e">
        <f>IF(F134&lt;$D$5, ($C$5)*(Break_Even_Point_Calc.!$D$10+(Break_Even_Point_Calc.!$D$17*F135)), "")</f>
        <v>#VALUE!</v>
      </c>
      <c r="I135" s="17" t="e">
        <f t="shared" ref="I135:I198" si="5">IF(AND(G135-H135&lt;0,G134-H134&gt;0), TEXT(G135-H135,"0.00") &amp; " Breakeven Point", G135-H135)</f>
        <v>#VALUE!</v>
      </c>
    </row>
    <row r="136" spans="2:9" x14ac:dyDescent="0.3">
      <c r="B136" s="1"/>
      <c r="C136" s="1"/>
      <c r="D136" s="1"/>
      <c r="E136" s="1"/>
      <c r="F136" s="28" t="e">
        <f t="shared" si="4"/>
        <v>#VALUE!</v>
      </c>
      <c r="G136" s="4" t="e">
        <f>IF(F135&lt;$D$5, ($C$5)*(Break_Even_Point_Calc.!$F$10+(Break_Even_Point_Calc.!$F$17*F136)), "")</f>
        <v>#VALUE!</v>
      </c>
      <c r="H136" s="4" t="e">
        <f>IF(F135&lt;$D$5, ($C$5)*(Break_Even_Point_Calc.!$D$10+(Break_Even_Point_Calc.!$D$17*F136)), "")</f>
        <v>#VALUE!</v>
      </c>
      <c r="I136" s="17" t="e">
        <f t="shared" si="5"/>
        <v>#VALUE!</v>
      </c>
    </row>
    <row r="137" spans="2:9" x14ac:dyDescent="0.3">
      <c r="B137" s="1"/>
      <c r="C137" s="1"/>
      <c r="D137" s="1"/>
      <c r="E137" s="1"/>
      <c r="F137" s="28" t="e">
        <f t="shared" si="4"/>
        <v>#VALUE!</v>
      </c>
      <c r="G137" s="4" t="e">
        <f>IF(F136&lt;$D$5, ($C$5)*(Break_Even_Point_Calc.!$F$10+(Break_Even_Point_Calc.!$F$17*F137)), "")</f>
        <v>#VALUE!</v>
      </c>
      <c r="H137" s="4" t="e">
        <f>IF(F136&lt;$D$5, ($C$5)*(Break_Even_Point_Calc.!$D$10+(Break_Even_Point_Calc.!$D$17*F137)), "")</f>
        <v>#VALUE!</v>
      </c>
      <c r="I137" s="17" t="e">
        <f t="shared" si="5"/>
        <v>#VALUE!</v>
      </c>
    </row>
    <row r="138" spans="2:9" x14ac:dyDescent="0.3">
      <c r="B138" s="1"/>
      <c r="C138" s="1"/>
      <c r="D138" s="1"/>
      <c r="E138" s="1"/>
      <c r="F138" s="28" t="e">
        <f t="shared" si="4"/>
        <v>#VALUE!</v>
      </c>
      <c r="G138" s="4" t="e">
        <f>IF(F137&lt;$D$5, ($C$5)*(Break_Even_Point_Calc.!$F$10+(Break_Even_Point_Calc.!$F$17*F138)), "")</f>
        <v>#VALUE!</v>
      </c>
      <c r="H138" s="4" t="e">
        <f>IF(F137&lt;$D$5, ($C$5)*(Break_Even_Point_Calc.!$D$10+(Break_Even_Point_Calc.!$D$17*F138)), "")</f>
        <v>#VALUE!</v>
      </c>
      <c r="I138" s="17" t="e">
        <f t="shared" si="5"/>
        <v>#VALUE!</v>
      </c>
    </row>
    <row r="139" spans="2:9" x14ac:dyDescent="0.3">
      <c r="B139" s="1"/>
      <c r="C139" s="1"/>
      <c r="D139" s="1"/>
      <c r="E139" s="1"/>
      <c r="F139" s="28" t="e">
        <f t="shared" si="4"/>
        <v>#VALUE!</v>
      </c>
      <c r="G139" s="4" t="e">
        <f>IF(F138&lt;$D$5, ($C$5)*(Break_Even_Point_Calc.!$F$10+(Break_Even_Point_Calc.!$F$17*F139)), "")</f>
        <v>#VALUE!</v>
      </c>
      <c r="H139" s="4" t="e">
        <f>IF(F138&lt;$D$5, ($C$5)*(Break_Even_Point_Calc.!$D$10+(Break_Even_Point_Calc.!$D$17*F139)), "")</f>
        <v>#VALUE!</v>
      </c>
      <c r="I139" s="17" t="e">
        <f t="shared" si="5"/>
        <v>#VALUE!</v>
      </c>
    </row>
    <row r="140" spans="2:9" x14ac:dyDescent="0.3">
      <c r="B140" s="1"/>
      <c r="C140" s="1"/>
      <c r="D140" s="1"/>
      <c r="E140" s="1"/>
      <c r="F140" s="28" t="e">
        <f t="shared" si="4"/>
        <v>#VALUE!</v>
      </c>
      <c r="G140" s="4" t="e">
        <f>IF(F139&lt;$D$5, ($C$5)*(Break_Even_Point_Calc.!$F$10+(Break_Even_Point_Calc.!$F$17*F140)), "")</f>
        <v>#VALUE!</v>
      </c>
      <c r="H140" s="4" t="e">
        <f>IF(F139&lt;$D$5, ($C$5)*(Break_Even_Point_Calc.!$D$10+(Break_Even_Point_Calc.!$D$17*F140)), "")</f>
        <v>#VALUE!</v>
      </c>
      <c r="I140" s="17" t="e">
        <f t="shared" si="5"/>
        <v>#VALUE!</v>
      </c>
    </row>
    <row r="141" spans="2:9" x14ac:dyDescent="0.3">
      <c r="B141" s="1"/>
      <c r="C141" s="1"/>
      <c r="D141" s="1"/>
      <c r="E141" s="1"/>
      <c r="F141" s="28" t="e">
        <f t="shared" si="4"/>
        <v>#VALUE!</v>
      </c>
      <c r="G141" s="4" t="e">
        <f>IF(F140&lt;$D$5, ($C$5)*(Break_Even_Point_Calc.!$F$10+(Break_Even_Point_Calc.!$F$17*F141)), "")</f>
        <v>#VALUE!</v>
      </c>
      <c r="H141" s="4" t="e">
        <f>IF(F140&lt;$D$5, ($C$5)*(Break_Even_Point_Calc.!$D$10+(Break_Even_Point_Calc.!$D$17*F141)), "")</f>
        <v>#VALUE!</v>
      </c>
      <c r="I141" s="17" t="e">
        <f t="shared" si="5"/>
        <v>#VALUE!</v>
      </c>
    </row>
    <row r="142" spans="2:9" x14ac:dyDescent="0.3">
      <c r="B142" s="1"/>
      <c r="C142" s="1"/>
      <c r="D142" s="1"/>
      <c r="E142" s="1"/>
      <c r="F142" s="28" t="e">
        <f t="shared" si="4"/>
        <v>#VALUE!</v>
      </c>
      <c r="G142" s="4" t="e">
        <f>IF(F141&lt;$D$5, ($C$5)*(Break_Even_Point_Calc.!$F$10+(Break_Even_Point_Calc.!$F$17*F142)), "")</f>
        <v>#VALUE!</v>
      </c>
      <c r="H142" s="4" t="e">
        <f>IF(F141&lt;$D$5, ($C$5)*(Break_Even_Point_Calc.!$D$10+(Break_Even_Point_Calc.!$D$17*F142)), "")</f>
        <v>#VALUE!</v>
      </c>
      <c r="I142" s="17" t="e">
        <f t="shared" si="5"/>
        <v>#VALUE!</v>
      </c>
    </row>
    <row r="143" spans="2:9" x14ac:dyDescent="0.3">
      <c r="B143" s="1"/>
      <c r="C143" s="1"/>
      <c r="D143" s="1"/>
      <c r="E143" s="1"/>
      <c r="F143" s="28" t="e">
        <f t="shared" si="4"/>
        <v>#VALUE!</v>
      </c>
      <c r="G143" s="4" t="e">
        <f>IF(F142&lt;$D$5, ($C$5)*(Break_Even_Point_Calc.!$F$10+(Break_Even_Point_Calc.!$F$17*F143)), "")</f>
        <v>#VALUE!</v>
      </c>
      <c r="H143" s="4" t="e">
        <f>IF(F142&lt;$D$5, ($C$5)*(Break_Even_Point_Calc.!$D$10+(Break_Even_Point_Calc.!$D$17*F143)), "")</f>
        <v>#VALUE!</v>
      </c>
      <c r="I143" s="17" t="e">
        <f t="shared" si="5"/>
        <v>#VALUE!</v>
      </c>
    </row>
    <row r="144" spans="2:9" x14ac:dyDescent="0.3">
      <c r="B144" s="1"/>
      <c r="C144" s="1"/>
      <c r="D144" s="1"/>
      <c r="E144" s="1"/>
      <c r="F144" s="28" t="e">
        <f t="shared" si="4"/>
        <v>#VALUE!</v>
      </c>
      <c r="G144" s="4" t="e">
        <f>IF(F143&lt;$D$5, ($C$5)*(Break_Even_Point_Calc.!$F$10+(Break_Even_Point_Calc.!$F$17*F144)), "")</f>
        <v>#VALUE!</v>
      </c>
      <c r="H144" s="4" t="e">
        <f>IF(F143&lt;$D$5, ($C$5)*(Break_Even_Point_Calc.!$D$10+(Break_Even_Point_Calc.!$D$17*F144)), "")</f>
        <v>#VALUE!</v>
      </c>
      <c r="I144" s="17" t="e">
        <f t="shared" si="5"/>
        <v>#VALUE!</v>
      </c>
    </row>
    <row r="145" spans="2:9" x14ac:dyDescent="0.3">
      <c r="B145" s="1"/>
      <c r="C145" s="1"/>
      <c r="D145" s="1"/>
      <c r="E145" s="1"/>
      <c r="F145" s="28" t="e">
        <f t="shared" si="4"/>
        <v>#VALUE!</v>
      </c>
      <c r="G145" s="4" t="e">
        <f>IF(F144&lt;$D$5, ($C$5)*(Break_Even_Point_Calc.!$F$10+(Break_Even_Point_Calc.!$F$17*F145)), "")</f>
        <v>#VALUE!</v>
      </c>
      <c r="H145" s="4" t="e">
        <f>IF(F144&lt;$D$5, ($C$5)*(Break_Even_Point_Calc.!$D$10+(Break_Even_Point_Calc.!$D$17*F145)), "")</f>
        <v>#VALUE!</v>
      </c>
      <c r="I145" s="17" t="e">
        <f t="shared" si="5"/>
        <v>#VALUE!</v>
      </c>
    </row>
    <row r="146" spans="2:9" x14ac:dyDescent="0.3">
      <c r="B146" s="1"/>
      <c r="C146" s="1"/>
      <c r="D146" s="1"/>
      <c r="E146" s="1"/>
      <c r="F146" s="28" t="e">
        <f t="shared" si="4"/>
        <v>#VALUE!</v>
      </c>
      <c r="G146" s="4" t="e">
        <f>IF(F145&lt;$D$5, ($C$5)*(Break_Even_Point_Calc.!$F$10+(Break_Even_Point_Calc.!$F$17*F146)), "")</f>
        <v>#VALUE!</v>
      </c>
      <c r="H146" s="4" t="e">
        <f>IF(F145&lt;$D$5, ($C$5)*(Break_Even_Point_Calc.!$D$10+(Break_Even_Point_Calc.!$D$17*F146)), "")</f>
        <v>#VALUE!</v>
      </c>
      <c r="I146" s="17" t="e">
        <f t="shared" si="5"/>
        <v>#VALUE!</v>
      </c>
    </row>
    <row r="147" spans="2:9" x14ac:dyDescent="0.3">
      <c r="B147" s="1"/>
      <c r="C147" s="1"/>
      <c r="D147" s="1"/>
      <c r="E147" s="1"/>
      <c r="F147" s="28" t="e">
        <f t="shared" si="4"/>
        <v>#VALUE!</v>
      </c>
      <c r="G147" s="4" t="e">
        <f>IF(F146&lt;$D$5, ($C$5)*(Break_Even_Point_Calc.!$F$10+(Break_Even_Point_Calc.!$F$17*F147)), "")</f>
        <v>#VALUE!</v>
      </c>
      <c r="H147" s="4" t="e">
        <f>IF(F146&lt;$D$5, ($C$5)*(Break_Even_Point_Calc.!$D$10+(Break_Even_Point_Calc.!$D$17*F147)), "")</f>
        <v>#VALUE!</v>
      </c>
      <c r="I147" s="17" t="e">
        <f t="shared" si="5"/>
        <v>#VALUE!</v>
      </c>
    </row>
    <row r="148" spans="2:9" x14ac:dyDescent="0.3">
      <c r="B148" s="1"/>
      <c r="C148" s="1"/>
      <c r="D148" s="1"/>
      <c r="E148" s="1"/>
      <c r="F148" s="28" t="e">
        <f t="shared" si="4"/>
        <v>#VALUE!</v>
      </c>
      <c r="G148" s="4" t="e">
        <f>IF(F147&lt;$D$5, ($C$5)*(Break_Even_Point_Calc.!$F$10+(Break_Even_Point_Calc.!$F$17*F148)), "")</f>
        <v>#VALUE!</v>
      </c>
      <c r="H148" s="4" t="e">
        <f>IF(F147&lt;$D$5, ($C$5)*(Break_Even_Point_Calc.!$D$10+(Break_Even_Point_Calc.!$D$17*F148)), "")</f>
        <v>#VALUE!</v>
      </c>
      <c r="I148" s="17" t="e">
        <f t="shared" si="5"/>
        <v>#VALUE!</v>
      </c>
    </row>
    <row r="149" spans="2:9" x14ac:dyDescent="0.3">
      <c r="B149" s="1"/>
      <c r="C149" s="1"/>
      <c r="D149" s="1"/>
      <c r="E149" s="1"/>
      <c r="F149" s="28" t="e">
        <f t="shared" si="4"/>
        <v>#VALUE!</v>
      </c>
      <c r="G149" s="4" t="e">
        <f>IF(F148&lt;$D$5, ($C$5)*(Break_Even_Point_Calc.!$F$10+(Break_Even_Point_Calc.!$F$17*F149)), "")</f>
        <v>#VALUE!</v>
      </c>
      <c r="H149" s="4" t="e">
        <f>IF(F148&lt;$D$5, ($C$5)*(Break_Even_Point_Calc.!$D$10+(Break_Even_Point_Calc.!$D$17*F149)), "")</f>
        <v>#VALUE!</v>
      </c>
      <c r="I149" s="17" t="e">
        <f t="shared" si="5"/>
        <v>#VALUE!</v>
      </c>
    </row>
    <row r="150" spans="2:9" x14ac:dyDescent="0.3">
      <c r="B150" s="1"/>
      <c r="C150" s="1"/>
      <c r="D150" s="1"/>
      <c r="E150" s="1"/>
      <c r="F150" s="28" t="e">
        <f t="shared" si="4"/>
        <v>#VALUE!</v>
      </c>
      <c r="G150" s="4" t="e">
        <f>IF(F149&lt;$D$5, ($C$5)*(Break_Even_Point_Calc.!$F$10+(Break_Even_Point_Calc.!$F$17*F150)), "")</f>
        <v>#VALUE!</v>
      </c>
      <c r="H150" s="4" t="e">
        <f>IF(F149&lt;$D$5, ($C$5)*(Break_Even_Point_Calc.!$D$10+(Break_Even_Point_Calc.!$D$17*F150)), "")</f>
        <v>#VALUE!</v>
      </c>
      <c r="I150" s="17" t="e">
        <f t="shared" si="5"/>
        <v>#VALUE!</v>
      </c>
    </row>
    <row r="151" spans="2:9" x14ac:dyDescent="0.3">
      <c r="B151" s="1"/>
      <c r="C151" s="1"/>
      <c r="D151" s="1"/>
      <c r="E151" s="1"/>
      <c r="F151" s="28" t="e">
        <f t="shared" si="4"/>
        <v>#VALUE!</v>
      </c>
      <c r="G151" s="4" t="e">
        <f>IF(F150&lt;$D$5, ($C$5)*(Break_Even_Point_Calc.!$F$10+(Break_Even_Point_Calc.!$F$17*F151)), "")</f>
        <v>#VALUE!</v>
      </c>
      <c r="H151" s="4" t="e">
        <f>IF(F150&lt;$D$5, ($C$5)*(Break_Even_Point_Calc.!$D$10+(Break_Even_Point_Calc.!$D$17*F151)), "")</f>
        <v>#VALUE!</v>
      </c>
      <c r="I151" s="17" t="e">
        <f t="shared" si="5"/>
        <v>#VALUE!</v>
      </c>
    </row>
    <row r="152" spans="2:9" x14ac:dyDescent="0.3">
      <c r="B152" s="1"/>
      <c r="C152" s="1"/>
      <c r="D152" s="1"/>
      <c r="E152" s="1"/>
      <c r="F152" s="28" t="e">
        <f t="shared" si="4"/>
        <v>#VALUE!</v>
      </c>
      <c r="G152" s="4" t="e">
        <f>IF(F151&lt;$D$5, ($C$5)*(Break_Even_Point_Calc.!$F$10+(Break_Even_Point_Calc.!$F$17*F152)), "")</f>
        <v>#VALUE!</v>
      </c>
      <c r="H152" s="4" t="e">
        <f>IF(F151&lt;$D$5, ($C$5)*(Break_Even_Point_Calc.!$D$10+(Break_Even_Point_Calc.!$D$17*F152)), "")</f>
        <v>#VALUE!</v>
      </c>
      <c r="I152" s="17" t="e">
        <f t="shared" si="5"/>
        <v>#VALUE!</v>
      </c>
    </row>
    <row r="153" spans="2:9" x14ac:dyDescent="0.3">
      <c r="B153" s="1"/>
      <c r="C153" s="1"/>
      <c r="D153" s="1"/>
      <c r="E153" s="1"/>
      <c r="F153" s="28" t="e">
        <f t="shared" si="4"/>
        <v>#VALUE!</v>
      </c>
      <c r="G153" s="4" t="e">
        <f>IF(F152&lt;$D$5, ($C$5)*(Break_Even_Point_Calc.!$F$10+(Break_Even_Point_Calc.!$F$17*F153)), "")</f>
        <v>#VALUE!</v>
      </c>
      <c r="H153" s="4" t="e">
        <f>IF(F152&lt;$D$5, ($C$5)*(Break_Even_Point_Calc.!$D$10+(Break_Even_Point_Calc.!$D$17*F153)), "")</f>
        <v>#VALUE!</v>
      </c>
      <c r="I153" s="17" t="e">
        <f t="shared" si="5"/>
        <v>#VALUE!</v>
      </c>
    </row>
    <row r="154" spans="2:9" x14ac:dyDescent="0.3">
      <c r="B154" s="1"/>
      <c r="C154" s="1"/>
      <c r="D154" s="1"/>
      <c r="E154" s="1"/>
      <c r="F154" s="28" t="e">
        <f t="shared" si="4"/>
        <v>#VALUE!</v>
      </c>
      <c r="G154" s="4" t="e">
        <f>IF(F153&lt;$D$5, ($C$5)*(Break_Even_Point_Calc.!$F$10+(Break_Even_Point_Calc.!$F$17*F154)), "")</f>
        <v>#VALUE!</v>
      </c>
      <c r="H154" s="4" t="e">
        <f>IF(F153&lt;$D$5, ($C$5)*(Break_Even_Point_Calc.!$D$10+(Break_Even_Point_Calc.!$D$17*F154)), "")</f>
        <v>#VALUE!</v>
      </c>
      <c r="I154" s="17" t="e">
        <f t="shared" si="5"/>
        <v>#VALUE!</v>
      </c>
    </row>
    <row r="155" spans="2:9" x14ac:dyDescent="0.3">
      <c r="B155" s="1"/>
      <c r="C155" s="1"/>
      <c r="D155" s="1"/>
      <c r="E155" s="1"/>
      <c r="F155" s="28" t="e">
        <f t="shared" si="4"/>
        <v>#VALUE!</v>
      </c>
      <c r="G155" s="4" t="e">
        <f>IF(F154&lt;$D$5, ($C$5)*(Break_Even_Point_Calc.!$F$10+(Break_Even_Point_Calc.!$F$17*F155)), "")</f>
        <v>#VALUE!</v>
      </c>
      <c r="H155" s="4" t="e">
        <f>IF(F154&lt;$D$5, ($C$5)*(Break_Even_Point_Calc.!$D$10+(Break_Even_Point_Calc.!$D$17*F155)), "")</f>
        <v>#VALUE!</v>
      </c>
      <c r="I155" s="17" t="e">
        <f t="shared" si="5"/>
        <v>#VALUE!</v>
      </c>
    </row>
    <row r="156" spans="2:9" x14ac:dyDescent="0.3">
      <c r="B156" s="1"/>
      <c r="C156" s="1"/>
      <c r="D156" s="1"/>
      <c r="E156" s="1"/>
      <c r="F156" s="28" t="e">
        <f t="shared" si="4"/>
        <v>#VALUE!</v>
      </c>
      <c r="G156" s="4" t="e">
        <f>IF(F155&lt;$D$5, ($C$5)*(Break_Even_Point_Calc.!$F$10+(Break_Even_Point_Calc.!$F$17*F156)), "")</f>
        <v>#VALUE!</v>
      </c>
      <c r="H156" s="4" t="e">
        <f>IF(F155&lt;$D$5, ($C$5)*(Break_Even_Point_Calc.!$D$10+(Break_Even_Point_Calc.!$D$17*F156)), "")</f>
        <v>#VALUE!</v>
      </c>
      <c r="I156" s="17" t="e">
        <f t="shared" si="5"/>
        <v>#VALUE!</v>
      </c>
    </row>
    <row r="157" spans="2:9" x14ac:dyDescent="0.3">
      <c r="B157" s="1"/>
      <c r="C157" s="1"/>
      <c r="D157" s="1"/>
      <c r="E157" s="1"/>
      <c r="F157" s="28" t="e">
        <f t="shared" si="4"/>
        <v>#VALUE!</v>
      </c>
      <c r="G157" s="4" t="e">
        <f>IF(F156&lt;$D$5, ($C$5)*(Break_Even_Point_Calc.!$F$10+(Break_Even_Point_Calc.!$F$17*F157)), "")</f>
        <v>#VALUE!</v>
      </c>
      <c r="H157" s="4" t="e">
        <f>IF(F156&lt;$D$5, ($C$5)*(Break_Even_Point_Calc.!$D$10+(Break_Even_Point_Calc.!$D$17*F157)), "")</f>
        <v>#VALUE!</v>
      </c>
      <c r="I157" s="17" t="e">
        <f t="shared" si="5"/>
        <v>#VALUE!</v>
      </c>
    </row>
    <row r="158" spans="2:9" x14ac:dyDescent="0.3">
      <c r="B158" s="1"/>
      <c r="C158" s="1"/>
      <c r="D158" s="1"/>
      <c r="E158" s="1"/>
      <c r="F158" s="28" t="e">
        <f t="shared" si="4"/>
        <v>#VALUE!</v>
      </c>
      <c r="G158" s="4" t="e">
        <f>IF(F157&lt;$D$5, ($C$5)*(Break_Even_Point_Calc.!$F$10+(Break_Even_Point_Calc.!$F$17*F158)), "")</f>
        <v>#VALUE!</v>
      </c>
      <c r="H158" s="4" t="e">
        <f>IF(F157&lt;$D$5, ($C$5)*(Break_Even_Point_Calc.!$D$10+(Break_Even_Point_Calc.!$D$17*F158)), "")</f>
        <v>#VALUE!</v>
      </c>
      <c r="I158" s="17" t="e">
        <f t="shared" si="5"/>
        <v>#VALUE!</v>
      </c>
    </row>
    <row r="159" spans="2:9" x14ac:dyDescent="0.3">
      <c r="B159" s="1"/>
      <c r="C159" s="1"/>
      <c r="D159" s="1"/>
      <c r="E159" s="1"/>
      <c r="F159" s="28" t="e">
        <f t="shared" si="4"/>
        <v>#VALUE!</v>
      </c>
      <c r="G159" s="4" t="e">
        <f>IF(F158&lt;$D$5, ($C$5)*(Break_Even_Point_Calc.!$F$10+(Break_Even_Point_Calc.!$F$17*F159)), "")</f>
        <v>#VALUE!</v>
      </c>
      <c r="H159" s="4" t="e">
        <f>IF(F158&lt;$D$5, ($C$5)*(Break_Even_Point_Calc.!$D$10+(Break_Even_Point_Calc.!$D$17*F159)), "")</f>
        <v>#VALUE!</v>
      </c>
      <c r="I159" s="17" t="e">
        <f t="shared" si="5"/>
        <v>#VALUE!</v>
      </c>
    </row>
    <row r="160" spans="2:9" x14ac:dyDescent="0.3">
      <c r="B160" s="1"/>
      <c r="C160" s="1"/>
      <c r="D160" s="1"/>
      <c r="E160" s="1"/>
      <c r="F160" s="28" t="e">
        <f t="shared" si="4"/>
        <v>#VALUE!</v>
      </c>
      <c r="G160" s="4" t="e">
        <f>IF(F159&lt;$D$5, ($C$5)*(Break_Even_Point_Calc.!$F$10+(Break_Even_Point_Calc.!$F$17*F160)), "")</f>
        <v>#VALUE!</v>
      </c>
      <c r="H160" s="4" t="e">
        <f>IF(F159&lt;$D$5, ($C$5)*(Break_Even_Point_Calc.!$D$10+(Break_Even_Point_Calc.!$D$17*F160)), "")</f>
        <v>#VALUE!</v>
      </c>
      <c r="I160" s="17" t="e">
        <f t="shared" si="5"/>
        <v>#VALUE!</v>
      </c>
    </row>
    <row r="161" spans="2:9" x14ac:dyDescent="0.3">
      <c r="B161" s="1"/>
      <c r="C161" s="1"/>
      <c r="D161" s="1"/>
      <c r="E161" s="1"/>
      <c r="F161" s="28" t="e">
        <f t="shared" si="4"/>
        <v>#VALUE!</v>
      </c>
      <c r="G161" s="4" t="e">
        <f>IF(F160&lt;$D$5, ($C$5)*(Break_Even_Point_Calc.!$F$10+(Break_Even_Point_Calc.!$F$17*F161)), "")</f>
        <v>#VALUE!</v>
      </c>
      <c r="H161" s="4" t="e">
        <f>IF(F160&lt;$D$5, ($C$5)*(Break_Even_Point_Calc.!$D$10+(Break_Even_Point_Calc.!$D$17*F161)), "")</f>
        <v>#VALUE!</v>
      </c>
      <c r="I161" s="17" t="e">
        <f t="shared" si="5"/>
        <v>#VALUE!</v>
      </c>
    </row>
    <row r="162" spans="2:9" x14ac:dyDescent="0.3">
      <c r="B162" s="1"/>
      <c r="C162" s="1"/>
      <c r="D162" s="1"/>
      <c r="E162" s="1"/>
      <c r="F162" s="28" t="e">
        <f t="shared" si="4"/>
        <v>#VALUE!</v>
      </c>
      <c r="G162" s="4" t="e">
        <f>IF(F161&lt;$D$5, ($C$5)*(Break_Even_Point_Calc.!$F$10+(Break_Even_Point_Calc.!$F$17*F162)), "")</f>
        <v>#VALUE!</v>
      </c>
      <c r="H162" s="4" t="e">
        <f>IF(F161&lt;$D$5, ($C$5)*(Break_Even_Point_Calc.!$D$10+(Break_Even_Point_Calc.!$D$17*F162)), "")</f>
        <v>#VALUE!</v>
      </c>
      <c r="I162" s="17" t="e">
        <f t="shared" si="5"/>
        <v>#VALUE!</v>
      </c>
    </row>
    <row r="163" spans="2:9" x14ac:dyDescent="0.3">
      <c r="B163" s="1"/>
      <c r="C163" s="1"/>
      <c r="D163" s="1"/>
      <c r="E163" s="1"/>
      <c r="F163" s="28" t="e">
        <f t="shared" si="4"/>
        <v>#VALUE!</v>
      </c>
      <c r="G163" s="4" t="e">
        <f>IF(F162&lt;$D$5, ($C$5)*(Break_Even_Point_Calc.!$F$10+(Break_Even_Point_Calc.!$F$17*F163)), "")</f>
        <v>#VALUE!</v>
      </c>
      <c r="H163" s="4" t="e">
        <f>IF(F162&lt;$D$5, ($C$5)*(Break_Even_Point_Calc.!$D$10+(Break_Even_Point_Calc.!$D$17*F163)), "")</f>
        <v>#VALUE!</v>
      </c>
      <c r="I163" s="17" t="e">
        <f t="shared" si="5"/>
        <v>#VALUE!</v>
      </c>
    </row>
    <row r="164" spans="2:9" x14ac:dyDescent="0.3">
      <c r="B164" s="1"/>
      <c r="C164" s="1"/>
      <c r="D164" s="1"/>
      <c r="E164" s="1"/>
      <c r="F164" s="28" t="e">
        <f t="shared" si="4"/>
        <v>#VALUE!</v>
      </c>
      <c r="G164" s="4" t="e">
        <f>IF(F163&lt;$D$5, ($C$5)*(Break_Even_Point_Calc.!$F$10+(Break_Even_Point_Calc.!$F$17*F164)), "")</f>
        <v>#VALUE!</v>
      </c>
      <c r="H164" s="4" t="e">
        <f>IF(F163&lt;$D$5, ($C$5)*(Break_Even_Point_Calc.!$D$10+(Break_Even_Point_Calc.!$D$17*F164)), "")</f>
        <v>#VALUE!</v>
      </c>
      <c r="I164" s="17" t="e">
        <f t="shared" si="5"/>
        <v>#VALUE!</v>
      </c>
    </row>
    <row r="165" spans="2:9" x14ac:dyDescent="0.3">
      <c r="B165" s="1"/>
      <c r="C165" s="1"/>
      <c r="D165" s="1"/>
      <c r="E165" s="1"/>
      <c r="F165" s="28" t="e">
        <f t="shared" si="4"/>
        <v>#VALUE!</v>
      </c>
      <c r="G165" s="4" t="e">
        <f>IF(F164&lt;$D$5, ($C$5)*(Break_Even_Point_Calc.!$F$10+(Break_Even_Point_Calc.!$F$17*F165)), "")</f>
        <v>#VALUE!</v>
      </c>
      <c r="H165" s="4" t="e">
        <f>IF(F164&lt;$D$5, ($C$5)*(Break_Even_Point_Calc.!$D$10+(Break_Even_Point_Calc.!$D$17*F165)), "")</f>
        <v>#VALUE!</v>
      </c>
      <c r="I165" s="17" t="e">
        <f t="shared" si="5"/>
        <v>#VALUE!</v>
      </c>
    </row>
    <row r="166" spans="2:9" x14ac:dyDescent="0.3">
      <c r="B166" s="1"/>
      <c r="C166" s="1"/>
      <c r="D166" s="1"/>
      <c r="E166" s="1"/>
      <c r="F166" s="28" t="e">
        <f t="shared" si="4"/>
        <v>#VALUE!</v>
      </c>
      <c r="G166" s="4" t="e">
        <f>IF(F165&lt;$D$5, ($C$5)*(Break_Even_Point_Calc.!$F$10+(Break_Even_Point_Calc.!$F$17*F166)), "")</f>
        <v>#VALUE!</v>
      </c>
      <c r="H166" s="4" t="e">
        <f>IF(F165&lt;$D$5, ($C$5)*(Break_Even_Point_Calc.!$D$10+(Break_Even_Point_Calc.!$D$17*F166)), "")</f>
        <v>#VALUE!</v>
      </c>
      <c r="I166" s="17" t="e">
        <f t="shared" si="5"/>
        <v>#VALUE!</v>
      </c>
    </row>
    <row r="167" spans="2:9" x14ac:dyDescent="0.3">
      <c r="B167" s="1"/>
      <c r="C167" s="1"/>
      <c r="D167" s="1"/>
      <c r="E167" s="1"/>
      <c r="F167" s="28" t="e">
        <f t="shared" si="4"/>
        <v>#VALUE!</v>
      </c>
      <c r="G167" s="4" t="e">
        <f>IF(F166&lt;$D$5, ($C$5)*(Break_Even_Point_Calc.!$F$10+(Break_Even_Point_Calc.!$F$17*F167)), "")</f>
        <v>#VALUE!</v>
      </c>
      <c r="H167" s="4" t="e">
        <f>IF(F166&lt;$D$5, ($C$5)*(Break_Even_Point_Calc.!$D$10+(Break_Even_Point_Calc.!$D$17*F167)), "")</f>
        <v>#VALUE!</v>
      </c>
      <c r="I167" s="17" t="e">
        <f t="shared" si="5"/>
        <v>#VALUE!</v>
      </c>
    </row>
    <row r="168" spans="2:9" x14ac:dyDescent="0.3">
      <c r="B168" s="1"/>
      <c r="C168" s="1"/>
      <c r="D168" s="1"/>
      <c r="E168" s="1"/>
      <c r="F168" s="28" t="e">
        <f t="shared" si="4"/>
        <v>#VALUE!</v>
      </c>
      <c r="G168" s="4" t="e">
        <f>IF(F167&lt;$D$5, ($C$5)*(Break_Even_Point_Calc.!$F$10+(Break_Even_Point_Calc.!$F$17*F168)), "")</f>
        <v>#VALUE!</v>
      </c>
      <c r="H168" s="4" t="e">
        <f>IF(F167&lt;$D$5, ($C$5)*(Break_Even_Point_Calc.!$D$10+(Break_Even_Point_Calc.!$D$17*F168)), "")</f>
        <v>#VALUE!</v>
      </c>
      <c r="I168" s="17" t="e">
        <f t="shared" si="5"/>
        <v>#VALUE!</v>
      </c>
    </row>
    <row r="169" spans="2:9" x14ac:dyDescent="0.3">
      <c r="B169" s="1"/>
      <c r="C169" s="1"/>
      <c r="D169" s="1"/>
      <c r="E169" s="1"/>
      <c r="F169" s="28" t="e">
        <f t="shared" si="4"/>
        <v>#VALUE!</v>
      </c>
      <c r="G169" s="4" t="e">
        <f>IF(F168&lt;$D$5, ($C$5)*(Break_Even_Point_Calc.!$F$10+(Break_Even_Point_Calc.!$F$17*F169)), "")</f>
        <v>#VALUE!</v>
      </c>
      <c r="H169" s="4" t="e">
        <f>IF(F168&lt;$D$5, ($C$5)*(Break_Even_Point_Calc.!$D$10+(Break_Even_Point_Calc.!$D$17*F169)), "")</f>
        <v>#VALUE!</v>
      </c>
      <c r="I169" s="17" t="e">
        <f t="shared" si="5"/>
        <v>#VALUE!</v>
      </c>
    </row>
    <row r="170" spans="2:9" x14ac:dyDescent="0.3">
      <c r="B170" s="1"/>
      <c r="C170" s="1"/>
      <c r="D170" s="1"/>
      <c r="E170" s="1"/>
      <c r="F170" s="28" t="e">
        <f t="shared" si="4"/>
        <v>#VALUE!</v>
      </c>
      <c r="G170" s="4" t="e">
        <f>IF(F169&lt;$D$5, ($C$5)*(Break_Even_Point_Calc.!$F$10+(Break_Even_Point_Calc.!$F$17*F170)), "")</f>
        <v>#VALUE!</v>
      </c>
      <c r="H170" s="4" t="e">
        <f>IF(F169&lt;$D$5, ($C$5)*(Break_Even_Point_Calc.!$D$10+(Break_Even_Point_Calc.!$D$17*F170)), "")</f>
        <v>#VALUE!</v>
      </c>
      <c r="I170" s="17" t="e">
        <f t="shared" si="5"/>
        <v>#VALUE!</v>
      </c>
    </row>
    <row r="171" spans="2:9" x14ac:dyDescent="0.3">
      <c r="B171" s="1"/>
      <c r="C171" s="1"/>
      <c r="D171" s="1"/>
      <c r="E171" s="1"/>
      <c r="F171" s="28" t="e">
        <f t="shared" si="4"/>
        <v>#VALUE!</v>
      </c>
      <c r="G171" s="4" t="e">
        <f>IF(F170&lt;$D$5, ($C$5)*(Break_Even_Point_Calc.!$F$10+(Break_Even_Point_Calc.!$F$17*F171)), "")</f>
        <v>#VALUE!</v>
      </c>
      <c r="H171" s="4" t="e">
        <f>IF(F170&lt;$D$5, ($C$5)*(Break_Even_Point_Calc.!$D$10+(Break_Even_Point_Calc.!$D$17*F171)), "")</f>
        <v>#VALUE!</v>
      </c>
      <c r="I171" s="17" t="e">
        <f t="shared" si="5"/>
        <v>#VALUE!</v>
      </c>
    </row>
    <row r="172" spans="2:9" x14ac:dyDescent="0.3">
      <c r="B172" s="1"/>
      <c r="C172" s="1"/>
      <c r="D172" s="1"/>
      <c r="E172" s="1"/>
      <c r="F172" s="28" t="e">
        <f t="shared" si="4"/>
        <v>#VALUE!</v>
      </c>
      <c r="G172" s="4" t="e">
        <f>IF(F171&lt;$D$5, ($C$5)*(Break_Even_Point_Calc.!$F$10+(Break_Even_Point_Calc.!$F$17*F172)), "")</f>
        <v>#VALUE!</v>
      </c>
      <c r="H172" s="4" t="e">
        <f>IF(F171&lt;$D$5, ($C$5)*(Break_Even_Point_Calc.!$D$10+(Break_Even_Point_Calc.!$D$17*F172)), "")</f>
        <v>#VALUE!</v>
      </c>
      <c r="I172" s="17" t="e">
        <f t="shared" si="5"/>
        <v>#VALUE!</v>
      </c>
    </row>
    <row r="173" spans="2:9" x14ac:dyDescent="0.3">
      <c r="B173" s="1"/>
      <c r="C173" s="1"/>
      <c r="D173" s="1"/>
      <c r="E173" s="1"/>
      <c r="F173" s="28" t="e">
        <f t="shared" si="4"/>
        <v>#VALUE!</v>
      </c>
      <c r="G173" s="4" t="e">
        <f>IF(F172&lt;$D$5, ($C$5)*(Break_Even_Point_Calc.!$F$10+(Break_Even_Point_Calc.!$F$17*F173)), "")</f>
        <v>#VALUE!</v>
      </c>
      <c r="H173" s="4" t="e">
        <f>IF(F172&lt;$D$5, ($C$5)*(Break_Even_Point_Calc.!$D$10+(Break_Even_Point_Calc.!$D$17*F173)), "")</f>
        <v>#VALUE!</v>
      </c>
      <c r="I173" s="17" t="e">
        <f t="shared" si="5"/>
        <v>#VALUE!</v>
      </c>
    </row>
    <row r="174" spans="2:9" x14ac:dyDescent="0.3">
      <c r="B174" s="1"/>
      <c r="C174" s="1"/>
      <c r="D174" s="1"/>
      <c r="E174" s="1"/>
      <c r="F174" s="28" t="e">
        <f t="shared" si="4"/>
        <v>#VALUE!</v>
      </c>
      <c r="G174" s="4" t="e">
        <f>IF(F173&lt;$D$5, ($C$5)*(Break_Even_Point_Calc.!$F$10+(Break_Even_Point_Calc.!$F$17*F174)), "")</f>
        <v>#VALUE!</v>
      </c>
      <c r="H174" s="4" t="e">
        <f>IF(F173&lt;$D$5, ($C$5)*(Break_Even_Point_Calc.!$D$10+(Break_Even_Point_Calc.!$D$17*F174)), "")</f>
        <v>#VALUE!</v>
      </c>
      <c r="I174" s="17" t="e">
        <f t="shared" si="5"/>
        <v>#VALUE!</v>
      </c>
    </row>
    <row r="175" spans="2:9" x14ac:dyDescent="0.3">
      <c r="B175" s="1"/>
      <c r="C175" s="1"/>
      <c r="D175" s="1"/>
      <c r="E175" s="1"/>
      <c r="F175" s="28" t="e">
        <f t="shared" si="4"/>
        <v>#VALUE!</v>
      </c>
      <c r="G175" s="4" t="e">
        <f>IF(F174&lt;$D$5, ($C$5)*(Break_Even_Point_Calc.!$F$10+(Break_Even_Point_Calc.!$F$17*F175)), "")</f>
        <v>#VALUE!</v>
      </c>
      <c r="H175" s="4" t="e">
        <f>IF(F174&lt;$D$5, ($C$5)*(Break_Even_Point_Calc.!$D$10+(Break_Even_Point_Calc.!$D$17*F175)), "")</f>
        <v>#VALUE!</v>
      </c>
      <c r="I175" s="17" t="e">
        <f t="shared" si="5"/>
        <v>#VALUE!</v>
      </c>
    </row>
    <row r="176" spans="2:9" x14ac:dyDescent="0.3">
      <c r="B176" s="1"/>
      <c r="C176" s="1"/>
      <c r="D176" s="1"/>
      <c r="E176" s="1"/>
      <c r="F176" s="28" t="e">
        <f t="shared" si="4"/>
        <v>#VALUE!</v>
      </c>
      <c r="G176" s="4" t="e">
        <f>IF(F175&lt;$D$5, ($C$5)*(Break_Even_Point_Calc.!$F$10+(Break_Even_Point_Calc.!$F$17*F176)), "")</f>
        <v>#VALUE!</v>
      </c>
      <c r="H176" s="4" t="e">
        <f>IF(F175&lt;$D$5, ($C$5)*(Break_Even_Point_Calc.!$D$10+(Break_Even_Point_Calc.!$D$17*F176)), "")</f>
        <v>#VALUE!</v>
      </c>
      <c r="I176" s="17" t="e">
        <f t="shared" si="5"/>
        <v>#VALUE!</v>
      </c>
    </row>
    <row r="177" spans="2:9" x14ac:dyDescent="0.3">
      <c r="B177" s="1"/>
      <c r="C177" s="1"/>
      <c r="D177" s="1"/>
      <c r="E177" s="1"/>
      <c r="F177" s="28" t="e">
        <f t="shared" si="4"/>
        <v>#VALUE!</v>
      </c>
      <c r="G177" s="4" t="e">
        <f>IF(F176&lt;$D$5, ($C$5)*(Break_Even_Point_Calc.!$F$10+(Break_Even_Point_Calc.!$F$17*F177)), "")</f>
        <v>#VALUE!</v>
      </c>
      <c r="H177" s="4" t="e">
        <f>IF(F176&lt;$D$5, ($C$5)*(Break_Even_Point_Calc.!$D$10+(Break_Even_Point_Calc.!$D$17*F177)), "")</f>
        <v>#VALUE!</v>
      </c>
      <c r="I177" s="17" t="e">
        <f t="shared" si="5"/>
        <v>#VALUE!</v>
      </c>
    </row>
    <row r="178" spans="2:9" x14ac:dyDescent="0.3">
      <c r="B178" s="1"/>
      <c r="C178" s="1"/>
      <c r="D178" s="1"/>
      <c r="E178" s="1"/>
      <c r="F178" s="28" t="e">
        <f t="shared" si="4"/>
        <v>#VALUE!</v>
      </c>
      <c r="G178" s="4" t="e">
        <f>IF(F177&lt;$D$5, ($C$5)*(Break_Even_Point_Calc.!$F$10+(Break_Even_Point_Calc.!$F$17*F178)), "")</f>
        <v>#VALUE!</v>
      </c>
      <c r="H178" s="4" t="e">
        <f>IF(F177&lt;$D$5, ($C$5)*(Break_Even_Point_Calc.!$D$10+(Break_Even_Point_Calc.!$D$17*F178)), "")</f>
        <v>#VALUE!</v>
      </c>
      <c r="I178" s="17" t="e">
        <f t="shared" si="5"/>
        <v>#VALUE!</v>
      </c>
    </row>
    <row r="179" spans="2:9" x14ac:dyDescent="0.3">
      <c r="B179" s="1"/>
      <c r="C179" s="1"/>
      <c r="D179" s="1"/>
      <c r="E179" s="1"/>
      <c r="F179" s="28" t="e">
        <f t="shared" si="4"/>
        <v>#VALUE!</v>
      </c>
      <c r="G179" s="4" t="e">
        <f>IF(F178&lt;$D$5, ($C$5)*(Break_Even_Point_Calc.!$F$10+(Break_Even_Point_Calc.!$F$17*F179)), "")</f>
        <v>#VALUE!</v>
      </c>
      <c r="H179" s="4" t="e">
        <f>IF(F178&lt;$D$5, ($C$5)*(Break_Even_Point_Calc.!$D$10+(Break_Even_Point_Calc.!$D$17*F179)), "")</f>
        <v>#VALUE!</v>
      </c>
      <c r="I179" s="17" t="e">
        <f t="shared" si="5"/>
        <v>#VALUE!</v>
      </c>
    </row>
    <row r="180" spans="2:9" x14ac:dyDescent="0.3">
      <c r="B180" s="1"/>
      <c r="C180" s="1"/>
      <c r="D180" s="1"/>
      <c r="E180" s="1"/>
      <c r="F180" s="28" t="e">
        <f t="shared" si="4"/>
        <v>#VALUE!</v>
      </c>
      <c r="G180" s="4" t="e">
        <f>IF(F179&lt;$D$5, ($C$5)*(Break_Even_Point_Calc.!$F$10+(Break_Even_Point_Calc.!$F$17*F180)), "")</f>
        <v>#VALUE!</v>
      </c>
      <c r="H180" s="4" t="e">
        <f>IF(F179&lt;$D$5, ($C$5)*(Break_Even_Point_Calc.!$D$10+(Break_Even_Point_Calc.!$D$17*F180)), "")</f>
        <v>#VALUE!</v>
      </c>
      <c r="I180" s="17" t="e">
        <f t="shared" si="5"/>
        <v>#VALUE!</v>
      </c>
    </row>
    <row r="181" spans="2:9" x14ac:dyDescent="0.3">
      <c r="B181" s="1"/>
      <c r="C181" s="1"/>
      <c r="D181" s="1"/>
      <c r="E181" s="1"/>
      <c r="F181" s="28" t="e">
        <f t="shared" si="4"/>
        <v>#VALUE!</v>
      </c>
      <c r="G181" s="4" t="e">
        <f>IF(F180&lt;$D$5, ($C$5)*(Break_Even_Point_Calc.!$F$10+(Break_Even_Point_Calc.!$F$17*F181)), "")</f>
        <v>#VALUE!</v>
      </c>
      <c r="H181" s="4" t="e">
        <f>IF(F180&lt;$D$5, ($C$5)*(Break_Even_Point_Calc.!$D$10+(Break_Even_Point_Calc.!$D$17*F181)), "")</f>
        <v>#VALUE!</v>
      </c>
      <c r="I181" s="17" t="e">
        <f t="shared" si="5"/>
        <v>#VALUE!</v>
      </c>
    </row>
    <row r="182" spans="2:9" x14ac:dyDescent="0.3">
      <c r="B182" s="1"/>
      <c r="C182" s="1"/>
      <c r="D182" s="1"/>
      <c r="E182" s="1"/>
      <c r="F182" s="28" t="e">
        <f t="shared" si="4"/>
        <v>#VALUE!</v>
      </c>
      <c r="G182" s="4" t="e">
        <f>IF(F181&lt;$D$5, ($C$5)*(Break_Even_Point_Calc.!$F$10+(Break_Even_Point_Calc.!$F$17*F182)), "")</f>
        <v>#VALUE!</v>
      </c>
      <c r="H182" s="4" t="e">
        <f>IF(F181&lt;$D$5, ($C$5)*(Break_Even_Point_Calc.!$D$10+(Break_Even_Point_Calc.!$D$17*F182)), "")</f>
        <v>#VALUE!</v>
      </c>
      <c r="I182" s="17" t="e">
        <f t="shared" si="5"/>
        <v>#VALUE!</v>
      </c>
    </row>
    <row r="183" spans="2:9" x14ac:dyDescent="0.3">
      <c r="B183" s="1"/>
      <c r="C183" s="1"/>
      <c r="D183" s="1"/>
      <c r="E183" s="1"/>
      <c r="F183" s="28" t="e">
        <f t="shared" si="4"/>
        <v>#VALUE!</v>
      </c>
      <c r="G183" s="4" t="e">
        <f>IF(F182&lt;$D$5, ($C$5)*(Break_Even_Point_Calc.!$F$10+(Break_Even_Point_Calc.!$F$17*F183)), "")</f>
        <v>#VALUE!</v>
      </c>
      <c r="H183" s="4" t="e">
        <f>IF(F182&lt;$D$5, ($C$5)*(Break_Even_Point_Calc.!$D$10+(Break_Even_Point_Calc.!$D$17*F183)), "")</f>
        <v>#VALUE!</v>
      </c>
      <c r="I183" s="17" t="e">
        <f t="shared" si="5"/>
        <v>#VALUE!</v>
      </c>
    </row>
    <row r="184" spans="2:9" x14ac:dyDescent="0.3">
      <c r="B184" s="1"/>
      <c r="C184" s="1"/>
      <c r="D184" s="1"/>
      <c r="E184" s="1"/>
      <c r="F184" s="28" t="e">
        <f t="shared" si="4"/>
        <v>#VALUE!</v>
      </c>
      <c r="G184" s="4" t="e">
        <f>IF(F183&lt;$D$5, ($C$5)*(Break_Even_Point_Calc.!$F$10+(Break_Even_Point_Calc.!$F$17*F184)), "")</f>
        <v>#VALUE!</v>
      </c>
      <c r="H184" s="4" t="e">
        <f>IF(F183&lt;$D$5, ($C$5)*(Break_Even_Point_Calc.!$D$10+(Break_Even_Point_Calc.!$D$17*F184)), "")</f>
        <v>#VALUE!</v>
      </c>
      <c r="I184" s="17" t="e">
        <f t="shared" si="5"/>
        <v>#VALUE!</v>
      </c>
    </row>
    <row r="185" spans="2:9" x14ac:dyDescent="0.3">
      <c r="B185" s="1"/>
      <c r="C185" s="1"/>
      <c r="D185" s="1"/>
      <c r="E185" s="1"/>
      <c r="F185" s="28" t="e">
        <f t="shared" si="4"/>
        <v>#VALUE!</v>
      </c>
      <c r="G185" s="4" t="e">
        <f>IF(F184&lt;$D$5, ($C$5)*(Break_Even_Point_Calc.!$F$10+(Break_Even_Point_Calc.!$F$17*F185)), "")</f>
        <v>#VALUE!</v>
      </c>
      <c r="H185" s="4" t="e">
        <f>IF(F184&lt;$D$5, ($C$5)*(Break_Even_Point_Calc.!$D$10+(Break_Even_Point_Calc.!$D$17*F185)), "")</f>
        <v>#VALUE!</v>
      </c>
      <c r="I185" s="17" t="e">
        <f t="shared" si="5"/>
        <v>#VALUE!</v>
      </c>
    </row>
    <row r="186" spans="2:9" x14ac:dyDescent="0.3">
      <c r="B186" s="1"/>
      <c r="C186" s="1"/>
      <c r="D186" s="1"/>
      <c r="E186" s="1"/>
      <c r="F186" s="28" t="e">
        <f t="shared" si="4"/>
        <v>#VALUE!</v>
      </c>
      <c r="G186" s="4" t="e">
        <f>IF(F185&lt;$D$5, ($C$5)*(Break_Even_Point_Calc.!$F$10+(Break_Even_Point_Calc.!$F$17*F186)), "")</f>
        <v>#VALUE!</v>
      </c>
      <c r="H186" s="4" t="e">
        <f>IF(F185&lt;$D$5, ($C$5)*(Break_Even_Point_Calc.!$D$10+(Break_Even_Point_Calc.!$D$17*F186)), "")</f>
        <v>#VALUE!</v>
      </c>
      <c r="I186" s="17" t="e">
        <f t="shared" si="5"/>
        <v>#VALUE!</v>
      </c>
    </row>
    <row r="187" spans="2:9" x14ac:dyDescent="0.3">
      <c r="B187" s="1"/>
      <c r="C187" s="1"/>
      <c r="D187" s="1"/>
      <c r="E187" s="1"/>
      <c r="F187" s="28" t="e">
        <f t="shared" si="4"/>
        <v>#VALUE!</v>
      </c>
      <c r="G187" s="4" t="e">
        <f>IF(F186&lt;$D$5, ($C$5)*(Break_Even_Point_Calc.!$F$10+(Break_Even_Point_Calc.!$F$17*F187)), "")</f>
        <v>#VALUE!</v>
      </c>
      <c r="H187" s="4" t="e">
        <f>IF(F186&lt;$D$5, ($C$5)*(Break_Even_Point_Calc.!$D$10+(Break_Even_Point_Calc.!$D$17*F187)), "")</f>
        <v>#VALUE!</v>
      </c>
      <c r="I187" s="17" t="e">
        <f t="shared" si="5"/>
        <v>#VALUE!</v>
      </c>
    </row>
    <row r="188" spans="2:9" x14ac:dyDescent="0.3">
      <c r="B188" s="1"/>
      <c r="C188" s="1"/>
      <c r="D188" s="1"/>
      <c r="E188" s="1"/>
      <c r="F188" s="28" t="e">
        <f t="shared" si="4"/>
        <v>#VALUE!</v>
      </c>
      <c r="G188" s="4" t="e">
        <f>IF(F187&lt;$D$5, ($C$5)*(Break_Even_Point_Calc.!$F$10+(Break_Even_Point_Calc.!$F$17*F188)), "")</f>
        <v>#VALUE!</v>
      </c>
      <c r="H188" s="4" t="e">
        <f>IF(F187&lt;$D$5, ($C$5)*(Break_Even_Point_Calc.!$D$10+(Break_Even_Point_Calc.!$D$17*F188)), "")</f>
        <v>#VALUE!</v>
      </c>
      <c r="I188" s="17" t="e">
        <f t="shared" si="5"/>
        <v>#VALUE!</v>
      </c>
    </row>
    <row r="189" spans="2:9" x14ac:dyDescent="0.3">
      <c r="B189" s="1"/>
      <c r="C189" s="1"/>
      <c r="D189" s="1"/>
      <c r="E189" s="1"/>
      <c r="F189" s="28" t="e">
        <f t="shared" si="4"/>
        <v>#VALUE!</v>
      </c>
      <c r="G189" s="4" t="e">
        <f>IF(F188&lt;$D$5, ($C$5)*(Break_Even_Point_Calc.!$F$10+(Break_Even_Point_Calc.!$F$17*F189)), "")</f>
        <v>#VALUE!</v>
      </c>
      <c r="H189" s="4" t="e">
        <f>IF(F188&lt;$D$5, ($C$5)*(Break_Even_Point_Calc.!$D$10+(Break_Even_Point_Calc.!$D$17*F189)), "")</f>
        <v>#VALUE!</v>
      </c>
      <c r="I189" s="17" t="e">
        <f t="shared" si="5"/>
        <v>#VALUE!</v>
      </c>
    </row>
    <row r="190" spans="2:9" x14ac:dyDescent="0.3">
      <c r="B190" s="1"/>
      <c r="C190" s="1"/>
      <c r="D190" s="1"/>
      <c r="E190" s="1"/>
      <c r="F190" s="28" t="e">
        <f t="shared" si="4"/>
        <v>#VALUE!</v>
      </c>
      <c r="G190" s="4" t="e">
        <f>IF(F189&lt;$D$5, ($C$5)*(Break_Even_Point_Calc.!$F$10+(Break_Even_Point_Calc.!$F$17*F190)), "")</f>
        <v>#VALUE!</v>
      </c>
      <c r="H190" s="4" t="e">
        <f>IF(F189&lt;$D$5, ($C$5)*(Break_Even_Point_Calc.!$D$10+(Break_Even_Point_Calc.!$D$17*F190)), "")</f>
        <v>#VALUE!</v>
      </c>
      <c r="I190" s="17" t="e">
        <f t="shared" si="5"/>
        <v>#VALUE!</v>
      </c>
    </row>
    <row r="191" spans="2:9" x14ac:dyDescent="0.3">
      <c r="B191" s="1"/>
      <c r="C191" s="1"/>
      <c r="D191" s="1"/>
      <c r="E191" s="1"/>
      <c r="F191" s="28" t="e">
        <f t="shared" si="4"/>
        <v>#VALUE!</v>
      </c>
      <c r="G191" s="4" t="e">
        <f>IF(F190&lt;$D$5, ($C$5)*(Break_Even_Point_Calc.!$F$10+(Break_Even_Point_Calc.!$F$17*F191)), "")</f>
        <v>#VALUE!</v>
      </c>
      <c r="H191" s="4" t="e">
        <f>IF(F190&lt;$D$5, ($C$5)*(Break_Even_Point_Calc.!$D$10+(Break_Even_Point_Calc.!$D$17*F191)), "")</f>
        <v>#VALUE!</v>
      </c>
      <c r="I191" s="17" t="e">
        <f t="shared" si="5"/>
        <v>#VALUE!</v>
      </c>
    </row>
    <row r="192" spans="2:9" x14ac:dyDescent="0.3">
      <c r="B192" s="1"/>
      <c r="C192" s="1"/>
      <c r="D192" s="1"/>
      <c r="E192" s="1"/>
      <c r="F192" s="28" t="e">
        <f t="shared" si="4"/>
        <v>#VALUE!</v>
      </c>
      <c r="G192" s="4" t="e">
        <f>IF(F191&lt;$D$5, ($C$5)*(Break_Even_Point_Calc.!$F$10+(Break_Even_Point_Calc.!$F$17*F192)), "")</f>
        <v>#VALUE!</v>
      </c>
      <c r="H192" s="4" t="e">
        <f>IF(F191&lt;$D$5, ($C$5)*(Break_Even_Point_Calc.!$D$10+(Break_Even_Point_Calc.!$D$17*F192)), "")</f>
        <v>#VALUE!</v>
      </c>
      <c r="I192" s="17" t="e">
        <f t="shared" si="5"/>
        <v>#VALUE!</v>
      </c>
    </row>
    <row r="193" spans="2:9" x14ac:dyDescent="0.3">
      <c r="B193" s="1"/>
      <c r="C193" s="1"/>
      <c r="D193" s="1"/>
      <c r="E193" s="1"/>
      <c r="F193" s="28" t="e">
        <f t="shared" si="4"/>
        <v>#VALUE!</v>
      </c>
      <c r="G193" s="4" t="e">
        <f>IF(F192&lt;$D$5, ($C$5)*(Break_Even_Point_Calc.!$F$10+(Break_Even_Point_Calc.!$F$17*F193)), "")</f>
        <v>#VALUE!</v>
      </c>
      <c r="H193" s="4" t="e">
        <f>IF(F192&lt;$D$5, ($C$5)*(Break_Even_Point_Calc.!$D$10+(Break_Even_Point_Calc.!$D$17*F193)), "")</f>
        <v>#VALUE!</v>
      </c>
      <c r="I193" s="17" t="e">
        <f t="shared" si="5"/>
        <v>#VALUE!</v>
      </c>
    </row>
    <row r="194" spans="2:9" x14ac:dyDescent="0.3">
      <c r="B194" s="1"/>
      <c r="C194" s="1"/>
      <c r="D194" s="1"/>
      <c r="E194" s="1"/>
      <c r="F194" s="28" t="e">
        <f t="shared" si="4"/>
        <v>#VALUE!</v>
      </c>
      <c r="G194" s="4" t="e">
        <f>IF(F193&lt;$D$5, ($C$5)*(Break_Even_Point_Calc.!$F$10+(Break_Even_Point_Calc.!$F$17*F194)), "")</f>
        <v>#VALUE!</v>
      </c>
      <c r="H194" s="4" t="e">
        <f>IF(F193&lt;$D$5, ($C$5)*(Break_Even_Point_Calc.!$D$10+(Break_Even_Point_Calc.!$D$17*F194)), "")</f>
        <v>#VALUE!</v>
      </c>
      <c r="I194" s="17" t="e">
        <f t="shared" si="5"/>
        <v>#VALUE!</v>
      </c>
    </row>
    <row r="195" spans="2:9" x14ac:dyDescent="0.3">
      <c r="B195" s="1"/>
      <c r="C195" s="1"/>
      <c r="D195" s="1"/>
      <c r="E195" s="1"/>
      <c r="F195" s="28" t="e">
        <f t="shared" si="4"/>
        <v>#VALUE!</v>
      </c>
      <c r="G195" s="4" t="e">
        <f>IF(F194&lt;$D$5, ($C$5)*(Break_Even_Point_Calc.!$F$10+(Break_Even_Point_Calc.!$F$17*F195)), "")</f>
        <v>#VALUE!</v>
      </c>
      <c r="H195" s="4" t="e">
        <f>IF(F194&lt;$D$5, ($C$5)*(Break_Even_Point_Calc.!$D$10+(Break_Even_Point_Calc.!$D$17*F195)), "")</f>
        <v>#VALUE!</v>
      </c>
      <c r="I195" s="17" t="e">
        <f t="shared" si="5"/>
        <v>#VALUE!</v>
      </c>
    </row>
    <row r="196" spans="2:9" x14ac:dyDescent="0.3">
      <c r="B196" s="1"/>
      <c r="C196" s="1"/>
      <c r="D196" s="1"/>
      <c r="E196" s="1"/>
      <c r="F196" s="28" t="e">
        <f t="shared" si="4"/>
        <v>#VALUE!</v>
      </c>
      <c r="G196" s="4" t="e">
        <f>IF(F195&lt;$D$5, ($C$5)*(Break_Even_Point_Calc.!$F$10+(Break_Even_Point_Calc.!$F$17*F196)), "")</f>
        <v>#VALUE!</v>
      </c>
      <c r="H196" s="4" t="e">
        <f>IF(F195&lt;$D$5, ($C$5)*(Break_Even_Point_Calc.!$D$10+(Break_Even_Point_Calc.!$D$17*F196)), "")</f>
        <v>#VALUE!</v>
      </c>
      <c r="I196" s="17" t="e">
        <f t="shared" si="5"/>
        <v>#VALUE!</v>
      </c>
    </row>
    <row r="197" spans="2:9" x14ac:dyDescent="0.3">
      <c r="B197" s="1"/>
      <c r="C197" s="1"/>
      <c r="D197" s="1"/>
      <c r="E197" s="1"/>
      <c r="F197" s="28" t="e">
        <f t="shared" si="4"/>
        <v>#VALUE!</v>
      </c>
      <c r="G197" s="4" t="e">
        <f>IF(F196&lt;$D$5, ($C$5)*(Break_Even_Point_Calc.!$F$10+(Break_Even_Point_Calc.!$F$17*F197)), "")</f>
        <v>#VALUE!</v>
      </c>
      <c r="H197" s="4" t="e">
        <f>IF(F196&lt;$D$5, ($C$5)*(Break_Even_Point_Calc.!$D$10+(Break_Even_Point_Calc.!$D$17*F197)), "")</f>
        <v>#VALUE!</v>
      </c>
      <c r="I197" s="17" t="e">
        <f t="shared" si="5"/>
        <v>#VALUE!</v>
      </c>
    </row>
    <row r="198" spans="2:9" x14ac:dyDescent="0.3">
      <c r="B198" s="1"/>
      <c r="C198" s="1"/>
      <c r="D198" s="1"/>
      <c r="E198" s="1"/>
      <c r="F198" s="28" t="e">
        <f t="shared" si="4"/>
        <v>#VALUE!</v>
      </c>
      <c r="G198" s="4" t="e">
        <f>IF(F197&lt;$D$5, ($C$5)*(Break_Even_Point_Calc.!$F$10+(Break_Even_Point_Calc.!$F$17*F198)), "")</f>
        <v>#VALUE!</v>
      </c>
      <c r="H198" s="4" t="e">
        <f>IF(F197&lt;$D$5, ($C$5)*(Break_Even_Point_Calc.!$D$10+(Break_Even_Point_Calc.!$D$17*F198)), "")</f>
        <v>#VALUE!</v>
      </c>
      <c r="I198" s="17" t="e">
        <f t="shared" si="5"/>
        <v>#VALUE!</v>
      </c>
    </row>
    <row r="199" spans="2:9" x14ac:dyDescent="0.3">
      <c r="B199" s="1"/>
      <c r="C199" s="1"/>
      <c r="D199" s="1"/>
      <c r="E199" s="1"/>
      <c r="F199" s="28" t="e">
        <f t="shared" ref="F199:F262" si="6">IF(F198=$D$5,"",F198+1)</f>
        <v>#VALUE!</v>
      </c>
      <c r="G199" s="4" t="e">
        <f>IF(F198&lt;$D$5, ($C$5)*(Break_Even_Point_Calc.!$F$10+(Break_Even_Point_Calc.!$F$17*F199)), "")</f>
        <v>#VALUE!</v>
      </c>
      <c r="H199" s="4" t="e">
        <f>IF(F198&lt;$D$5, ($C$5)*(Break_Even_Point_Calc.!$D$10+(Break_Even_Point_Calc.!$D$17*F199)), "")</f>
        <v>#VALUE!</v>
      </c>
      <c r="I199" s="17" t="e">
        <f t="shared" ref="I199:I262" si="7">IF(AND(G199-H199&lt;0,G198-H198&gt;0), TEXT(G199-H199,"0.00") &amp; " Breakeven Point", G199-H199)</f>
        <v>#VALUE!</v>
      </c>
    </row>
    <row r="200" spans="2:9" x14ac:dyDescent="0.3">
      <c r="B200" s="1"/>
      <c r="C200" s="1"/>
      <c r="D200" s="1"/>
      <c r="E200" s="1"/>
      <c r="F200" s="28" t="e">
        <f t="shared" si="6"/>
        <v>#VALUE!</v>
      </c>
      <c r="G200" s="4" t="e">
        <f>IF(F199&lt;$D$5, ($C$5)*(Break_Even_Point_Calc.!$F$10+(Break_Even_Point_Calc.!$F$17*F200)), "")</f>
        <v>#VALUE!</v>
      </c>
      <c r="H200" s="4" t="e">
        <f>IF(F199&lt;$D$5, ($C$5)*(Break_Even_Point_Calc.!$D$10+(Break_Even_Point_Calc.!$D$17*F200)), "")</f>
        <v>#VALUE!</v>
      </c>
      <c r="I200" s="17" t="e">
        <f t="shared" si="7"/>
        <v>#VALUE!</v>
      </c>
    </row>
    <row r="201" spans="2:9" x14ac:dyDescent="0.3">
      <c r="B201" s="1"/>
      <c r="C201" s="1"/>
      <c r="D201" s="1"/>
      <c r="E201" s="1"/>
      <c r="F201" s="28" t="e">
        <f t="shared" si="6"/>
        <v>#VALUE!</v>
      </c>
      <c r="G201" s="4" t="e">
        <f>IF(F200&lt;$D$5, ($C$5)*(Break_Even_Point_Calc.!$F$10+(Break_Even_Point_Calc.!$F$17*F201)), "")</f>
        <v>#VALUE!</v>
      </c>
      <c r="H201" s="4" t="e">
        <f>IF(F200&lt;$D$5, ($C$5)*(Break_Even_Point_Calc.!$D$10+(Break_Even_Point_Calc.!$D$17*F201)), "")</f>
        <v>#VALUE!</v>
      </c>
      <c r="I201" s="17" t="e">
        <f t="shared" si="7"/>
        <v>#VALUE!</v>
      </c>
    </row>
    <row r="202" spans="2:9" x14ac:dyDescent="0.3">
      <c r="B202" s="1"/>
      <c r="C202" s="1"/>
      <c r="D202" s="1"/>
      <c r="E202" s="1"/>
      <c r="F202" s="28" t="e">
        <f t="shared" si="6"/>
        <v>#VALUE!</v>
      </c>
      <c r="G202" s="4" t="e">
        <f>IF(F201&lt;$D$5, ($C$5)*(Break_Even_Point_Calc.!$F$10+(Break_Even_Point_Calc.!$F$17*F202)), "")</f>
        <v>#VALUE!</v>
      </c>
      <c r="H202" s="4" t="e">
        <f>IF(F201&lt;$D$5, ($C$5)*(Break_Even_Point_Calc.!$D$10+(Break_Even_Point_Calc.!$D$17*F202)), "")</f>
        <v>#VALUE!</v>
      </c>
      <c r="I202" s="17" t="e">
        <f t="shared" si="7"/>
        <v>#VALUE!</v>
      </c>
    </row>
    <row r="203" spans="2:9" x14ac:dyDescent="0.3">
      <c r="B203" s="1"/>
      <c r="C203" s="1"/>
      <c r="D203" s="1"/>
      <c r="E203" s="1"/>
      <c r="F203" s="28" t="e">
        <f t="shared" si="6"/>
        <v>#VALUE!</v>
      </c>
      <c r="G203" s="4" t="e">
        <f>IF(F202&lt;$D$5, ($C$5)*(Break_Even_Point_Calc.!$F$10+(Break_Even_Point_Calc.!$F$17*F203)), "")</f>
        <v>#VALUE!</v>
      </c>
      <c r="H203" s="4" t="e">
        <f>IF(F202&lt;$D$5, ($C$5)*(Break_Even_Point_Calc.!$D$10+(Break_Even_Point_Calc.!$D$17*F203)), "")</f>
        <v>#VALUE!</v>
      </c>
      <c r="I203" s="17" t="e">
        <f t="shared" si="7"/>
        <v>#VALUE!</v>
      </c>
    </row>
    <row r="204" spans="2:9" x14ac:dyDescent="0.3">
      <c r="B204" s="1"/>
      <c r="C204" s="1"/>
      <c r="D204" s="1"/>
      <c r="E204" s="1"/>
      <c r="F204" s="28" t="e">
        <f t="shared" si="6"/>
        <v>#VALUE!</v>
      </c>
      <c r="G204" s="4" t="e">
        <f>IF(F203&lt;$D$5, ($C$5)*(Break_Even_Point_Calc.!$F$10+(Break_Even_Point_Calc.!$F$17*F204)), "")</f>
        <v>#VALUE!</v>
      </c>
      <c r="H204" s="4" t="e">
        <f>IF(F203&lt;$D$5, ($C$5)*(Break_Even_Point_Calc.!$D$10+(Break_Even_Point_Calc.!$D$17*F204)), "")</f>
        <v>#VALUE!</v>
      </c>
      <c r="I204" s="17" t="e">
        <f t="shared" si="7"/>
        <v>#VALUE!</v>
      </c>
    </row>
    <row r="205" spans="2:9" x14ac:dyDescent="0.3">
      <c r="B205" s="1"/>
      <c r="C205" s="1"/>
      <c r="D205" s="1"/>
      <c r="E205" s="1"/>
      <c r="F205" s="28" t="e">
        <f t="shared" si="6"/>
        <v>#VALUE!</v>
      </c>
      <c r="G205" s="4" t="e">
        <f>IF(F204&lt;$D$5, ($C$5)*(Break_Even_Point_Calc.!$F$10+(Break_Even_Point_Calc.!$F$17*F205)), "")</f>
        <v>#VALUE!</v>
      </c>
      <c r="H205" s="4" t="e">
        <f>IF(F204&lt;$D$5, ($C$5)*(Break_Even_Point_Calc.!$D$10+(Break_Even_Point_Calc.!$D$17*F205)), "")</f>
        <v>#VALUE!</v>
      </c>
      <c r="I205" s="17" t="e">
        <f t="shared" si="7"/>
        <v>#VALUE!</v>
      </c>
    </row>
    <row r="206" spans="2:9" x14ac:dyDescent="0.3">
      <c r="B206" s="1"/>
      <c r="C206" s="1"/>
      <c r="D206" s="1"/>
      <c r="E206" s="1"/>
      <c r="F206" s="28" t="e">
        <f t="shared" si="6"/>
        <v>#VALUE!</v>
      </c>
      <c r="G206" s="4" t="e">
        <f>IF(F205&lt;$D$5, ($C$5)*(Break_Even_Point_Calc.!$F$10+(Break_Even_Point_Calc.!$F$17*F206)), "")</f>
        <v>#VALUE!</v>
      </c>
      <c r="H206" s="4" t="e">
        <f>IF(F205&lt;$D$5, ($C$5)*(Break_Even_Point_Calc.!$D$10+(Break_Even_Point_Calc.!$D$17*F206)), "")</f>
        <v>#VALUE!</v>
      </c>
      <c r="I206" s="17" t="e">
        <f t="shared" si="7"/>
        <v>#VALUE!</v>
      </c>
    </row>
    <row r="207" spans="2:9" x14ac:dyDescent="0.3">
      <c r="B207" s="1"/>
      <c r="C207" s="1"/>
      <c r="D207" s="1"/>
      <c r="E207" s="1"/>
      <c r="F207" s="28" t="e">
        <f t="shared" si="6"/>
        <v>#VALUE!</v>
      </c>
      <c r="G207" s="4" t="e">
        <f>IF(F206&lt;$D$5, ($C$5)*(Break_Even_Point_Calc.!$F$10+(Break_Even_Point_Calc.!$F$17*F207)), "")</f>
        <v>#VALUE!</v>
      </c>
      <c r="H207" s="4" t="e">
        <f>IF(F206&lt;$D$5, ($C$5)*(Break_Even_Point_Calc.!$D$10+(Break_Even_Point_Calc.!$D$17*F207)), "")</f>
        <v>#VALUE!</v>
      </c>
      <c r="I207" s="17" t="e">
        <f t="shared" si="7"/>
        <v>#VALUE!</v>
      </c>
    </row>
    <row r="208" spans="2:9" x14ac:dyDescent="0.3">
      <c r="B208" s="1"/>
      <c r="C208" s="1"/>
      <c r="D208" s="1"/>
      <c r="E208" s="1"/>
      <c r="F208" s="28" t="e">
        <f t="shared" si="6"/>
        <v>#VALUE!</v>
      </c>
      <c r="G208" s="4" t="e">
        <f>IF(F207&lt;$D$5, ($C$5)*(Break_Even_Point_Calc.!$F$10+(Break_Even_Point_Calc.!$F$17*F208)), "")</f>
        <v>#VALUE!</v>
      </c>
      <c r="H208" s="4" t="e">
        <f>IF(F207&lt;$D$5, ($C$5)*(Break_Even_Point_Calc.!$D$10+(Break_Even_Point_Calc.!$D$17*F208)), "")</f>
        <v>#VALUE!</v>
      </c>
      <c r="I208" s="17" t="e">
        <f t="shared" si="7"/>
        <v>#VALUE!</v>
      </c>
    </row>
    <row r="209" spans="2:9" x14ac:dyDescent="0.3">
      <c r="B209" s="1"/>
      <c r="C209" s="1"/>
      <c r="D209" s="1"/>
      <c r="E209" s="1"/>
      <c r="F209" s="28" t="e">
        <f t="shared" si="6"/>
        <v>#VALUE!</v>
      </c>
      <c r="G209" s="4" t="e">
        <f>IF(F208&lt;$D$5, ($C$5)*(Break_Even_Point_Calc.!$F$10+(Break_Even_Point_Calc.!$F$17*F209)), "")</f>
        <v>#VALUE!</v>
      </c>
      <c r="H209" s="4" t="e">
        <f>IF(F208&lt;$D$5, ($C$5)*(Break_Even_Point_Calc.!$D$10+(Break_Even_Point_Calc.!$D$17*F209)), "")</f>
        <v>#VALUE!</v>
      </c>
      <c r="I209" s="17" t="e">
        <f t="shared" si="7"/>
        <v>#VALUE!</v>
      </c>
    </row>
    <row r="210" spans="2:9" x14ac:dyDescent="0.3">
      <c r="B210" s="1"/>
      <c r="C210" s="1"/>
      <c r="D210" s="1"/>
      <c r="E210" s="1"/>
      <c r="F210" s="28" t="e">
        <f t="shared" si="6"/>
        <v>#VALUE!</v>
      </c>
      <c r="G210" s="4" t="e">
        <f>IF(F209&lt;$D$5, ($C$5)*(Break_Even_Point_Calc.!$F$10+(Break_Even_Point_Calc.!$F$17*F210)), "")</f>
        <v>#VALUE!</v>
      </c>
      <c r="H210" s="4" t="e">
        <f>IF(F209&lt;$D$5, ($C$5)*(Break_Even_Point_Calc.!$D$10+(Break_Even_Point_Calc.!$D$17*F210)), "")</f>
        <v>#VALUE!</v>
      </c>
      <c r="I210" s="17" t="e">
        <f t="shared" si="7"/>
        <v>#VALUE!</v>
      </c>
    </row>
    <row r="211" spans="2:9" x14ac:dyDescent="0.3">
      <c r="B211" s="1"/>
      <c r="C211" s="1"/>
      <c r="D211" s="1"/>
      <c r="E211" s="1"/>
      <c r="F211" s="28" t="e">
        <f t="shared" si="6"/>
        <v>#VALUE!</v>
      </c>
      <c r="G211" s="4" t="e">
        <f>IF(F210&lt;$D$5, ($C$5)*(Break_Even_Point_Calc.!$F$10+(Break_Even_Point_Calc.!$F$17*F211)), "")</f>
        <v>#VALUE!</v>
      </c>
      <c r="H211" s="4" t="e">
        <f>IF(F210&lt;$D$5, ($C$5)*(Break_Even_Point_Calc.!$D$10+(Break_Even_Point_Calc.!$D$17*F211)), "")</f>
        <v>#VALUE!</v>
      </c>
      <c r="I211" s="17" t="e">
        <f t="shared" si="7"/>
        <v>#VALUE!</v>
      </c>
    </row>
    <row r="212" spans="2:9" x14ac:dyDescent="0.3">
      <c r="B212" s="1"/>
      <c r="C212" s="1"/>
      <c r="D212" s="1"/>
      <c r="E212" s="1"/>
      <c r="F212" s="28" t="e">
        <f t="shared" si="6"/>
        <v>#VALUE!</v>
      </c>
      <c r="G212" s="4" t="e">
        <f>IF(F211&lt;$D$5, ($C$5)*(Break_Even_Point_Calc.!$F$10+(Break_Even_Point_Calc.!$F$17*F212)), "")</f>
        <v>#VALUE!</v>
      </c>
      <c r="H212" s="4" t="e">
        <f>IF(F211&lt;$D$5, ($C$5)*(Break_Even_Point_Calc.!$D$10+(Break_Even_Point_Calc.!$D$17*F212)), "")</f>
        <v>#VALUE!</v>
      </c>
      <c r="I212" s="17" t="e">
        <f t="shared" si="7"/>
        <v>#VALUE!</v>
      </c>
    </row>
    <row r="213" spans="2:9" x14ac:dyDescent="0.3">
      <c r="B213" s="1"/>
      <c r="C213" s="1"/>
      <c r="D213" s="1"/>
      <c r="E213" s="1"/>
      <c r="F213" s="28" t="e">
        <f t="shared" si="6"/>
        <v>#VALUE!</v>
      </c>
      <c r="G213" s="4" t="e">
        <f>IF(F212&lt;$D$5, ($C$5)*(Break_Even_Point_Calc.!$F$10+(Break_Even_Point_Calc.!$F$17*F213)), "")</f>
        <v>#VALUE!</v>
      </c>
      <c r="H213" s="4" t="e">
        <f>IF(F212&lt;$D$5, ($C$5)*(Break_Even_Point_Calc.!$D$10+(Break_Even_Point_Calc.!$D$17*F213)), "")</f>
        <v>#VALUE!</v>
      </c>
      <c r="I213" s="17" t="e">
        <f t="shared" si="7"/>
        <v>#VALUE!</v>
      </c>
    </row>
    <row r="214" spans="2:9" x14ac:dyDescent="0.3">
      <c r="B214" s="1"/>
      <c r="C214" s="1"/>
      <c r="D214" s="1"/>
      <c r="E214" s="1"/>
      <c r="F214" s="28" t="e">
        <f t="shared" si="6"/>
        <v>#VALUE!</v>
      </c>
      <c r="G214" s="4" t="e">
        <f>IF(F213&lt;$D$5, ($C$5)*(Break_Even_Point_Calc.!$F$10+(Break_Even_Point_Calc.!$F$17*F214)), "")</f>
        <v>#VALUE!</v>
      </c>
      <c r="H214" s="4" t="e">
        <f>IF(F213&lt;$D$5, ($C$5)*(Break_Even_Point_Calc.!$D$10+(Break_Even_Point_Calc.!$D$17*F214)), "")</f>
        <v>#VALUE!</v>
      </c>
      <c r="I214" s="17" t="e">
        <f t="shared" si="7"/>
        <v>#VALUE!</v>
      </c>
    </row>
    <row r="215" spans="2:9" x14ac:dyDescent="0.3">
      <c r="B215" s="1"/>
      <c r="C215" s="1"/>
      <c r="D215" s="1"/>
      <c r="E215" s="1"/>
      <c r="F215" s="28" t="e">
        <f t="shared" si="6"/>
        <v>#VALUE!</v>
      </c>
      <c r="G215" s="4" t="e">
        <f>IF(F214&lt;$D$5, ($C$5)*(Break_Even_Point_Calc.!$F$10+(Break_Even_Point_Calc.!$F$17*F215)), "")</f>
        <v>#VALUE!</v>
      </c>
      <c r="H215" s="4" t="e">
        <f>IF(F214&lt;$D$5, ($C$5)*(Break_Even_Point_Calc.!$D$10+(Break_Even_Point_Calc.!$D$17*F215)), "")</f>
        <v>#VALUE!</v>
      </c>
      <c r="I215" s="17" t="e">
        <f t="shared" si="7"/>
        <v>#VALUE!</v>
      </c>
    </row>
    <row r="216" spans="2:9" x14ac:dyDescent="0.3">
      <c r="B216" s="1"/>
      <c r="C216" s="1"/>
      <c r="D216" s="1"/>
      <c r="E216" s="1"/>
      <c r="F216" s="28" t="e">
        <f t="shared" si="6"/>
        <v>#VALUE!</v>
      </c>
      <c r="G216" s="4" t="e">
        <f>IF(F215&lt;$D$5, ($C$5)*(Break_Even_Point_Calc.!$F$10+(Break_Even_Point_Calc.!$F$17*F216)), "")</f>
        <v>#VALUE!</v>
      </c>
      <c r="H216" s="4" t="e">
        <f>IF(F215&lt;$D$5, ($C$5)*(Break_Even_Point_Calc.!$D$10+(Break_Even_Point_Calc.!$D$17*F216)), "")</f>
        <v>#VALUE!</v>
      </c>
      <c r="I216" s="17" t="e">
        <f t="shared" si="7"/>
        <v>#VALUE!</v>
      </c>
    </row>
    <row r="217" spans="2:9" x14ac:dyDescent="0.3">
      <c r="B217" s="1"/>
      <c r="C217" s="1"/>
      <c r="D217" s="1"/>
      <c r="E217" s="1"/>
      <c r="F217" s="28" t="e">
        <f t="shared" si="6"/>
        <v>#VALUE!</v>
      </c>
      <c r="G217" s="4" t="e">
        <f>IF(F216&lt;$D$5, ($C$5)*(Break_Even_Point_Calc.!$F$10+(Break_Even_Point_Calc.!$F$17*F217)), "")</f>
        <v>#VALUE!</v>
      </c>
      <c r="H217" s="4" t="e">
        <f>IF(F216&lt;$D$5, ($C$5)*(Break_Even_Point_Calc.!$D$10+(Break_Even_Point_Calc.!$D$17*F217)), "")</f>
        <v>#VALUE!</v>
      </c>
      <c r="I217" s="17" t="e">
        <f t="shared" si="7"/>
        <v>#VALUE!</v>
      </c>
    </row>
    <row r="218" spans="2:9" x14ac:dyDescent="0.3">
      <c r="B218" s="1"/>
      <c r="C218" s="1"/>
      <c r="D218" s="1"/>
      <c r="E218" s="1"/>
      <c r="F218" s="28" t="e">
        <f t="shared" si="6"/>
        <v>#VALUE!</v>
      </c>
      <c r="G218" s="4" t="e">
        <f>IF(F217&lt;$D$5, ($C$5)*(Break_Even_Point_Calc.!$F$10+(Break_Even_Point_Calc.!$F$17*F218)), "")</f>
        <v>#VALUE!</v>
      </c>
      <c r="H218" s="4" t="e">
        <f>IF(F217&lt;$D$5, ($C$5)*(Break_Even_Point_Calc.!$D$10+(Break_Even_Point_Calc.!$D$17*F218)), "")</f>
        <v>#VALUE!</v>
      </c>
      <c r="I218" s="17" t="e">
        <f t="shared" si="7"/>
        <v>#VALUE!</v>
      </c>
    </row>
    <row r="219" spans="2:9" x14ac:dyDescent="0.3">
      <c r="B219" s="1"/>
      <c r="C219" s="1"/>
      <c r="D219" s="1"/>
      <c r="E219" s="1"/>
      <c r="F219" s="28" t="e">
        <f t="shared" si="6"/>
        <v>#VALUE!</v>
      </c>
      <c r="G219" s="4" t="e">
        <f>IF(F218&lt;$D$5, ($C$5)*(Break_Even_Point_Calc.!$F$10+(Break_Even_Point_Calc.!$F$17*F219)), "")</f>
        <v>#VALUE!</v>
      </c>
      <c r="H219" s="4" t="e">
        <f>IF(F218&lt;$D$5, ($C$5)*(Break_Even_Point_Calc.!$D$10+(Break_Even_Point_Calc.!$D$17*F219)), "")</f>
        <v>#VALUE!</v>
      </c>
      <c r="I219" s="17" t="e">
        <f t="shared" si="7"/>
        <v>#VALUE!</v>
      </c>
    </row>
    <row r="220" spans="2:9" x14ac:dyDescent="0.3">
      <c r="B220" s="1"/>
      <c r="C220" s="1"/>
      <c r="D220" s="1"/>
      <c r="E220" s="1"/>
      <c r="F220" s="28" t="e">
        <f t="shared" si="6"/>
        <v>#VALUE!</v>
      </c>
      <c r="G220" s="4" t="e">
        <f>IF(F219&lt;$D$5, ($C$5)*(Break_Even_Point_Calc.!$F$10+(Break_Even_Point_Calc.!$F$17*F220)), "")</f>
        <v>#VALUE!</v>
      </c>
      <c r="H220" s="4" t="e">
        <f>IF(F219&lt;$D$5, ($C$5)*(Break_Even_Point_Calc.!$D$10+(Break_Even_Point_Calc.!$D$17*F220)), "")</f>
        <v>#VALUE!</v>
      </c>
      <c r="I220" s="17" t="e">
        <f t="shared" si="7"/>
        <v>#VALUE!</v>
      </c>
    </row>
    <row r="221" spans="2:9" x14ac:dyDescent="0.3">
      <c r="B221" s="1"/>
      <c r="C221" s="1"/>
      <c r="D221" s="1"/>
      <c r="E221" s="1"/>
      <c r="F221" s="28" t="e">
        <f t="shared" si="6"/>
        <v>#VALUE!</v>
      </c>
      <c r="G221" s="4" t="e">
        <f>IF(F220&lt;$D$5, ($C$5)*(Break_Even_Point_Calc.!$F$10+(Break_Even_Point_Calc.!$F$17*F221)), "")</f>
        <v>#VALUE!</v>
      </c>
      <c r="H221" s="4" t="e">
        <f>IF(F220&lt;$D$5, ($C$5)*(Break_Even_Point_Calc.!$D$10+(Break_Even_Point_Calc.!$D$17*F221)), "")</f>
        <v>#VALUE!</v>
      </c>
      <c r="I221" s="17" t="e">
        <f t="shared" si="7"/>
        <v>#VALUE!</v>
      </c>
    </row>
    <row r="222" spans="2:9" x14ac:dyDescent="0.3">
      <c r="B222" s="1"/>
      <c r="C222" s="1"/>
      <c r="D222" s="1"/>
      <c r="E222" s="1"/>
      <c r="F222" s="28" t="e">
        <f t="shared" si="6"/>
        <v>#VALUE!</v>
      </c>
      <c r="G222" s="4" t="e">
        <f>IF(F221&lt;$D$5, ($C$5)*(Break_Even_Point_Calc.!$F$10+(Break_Even_Point_Calc.!$F$17*F222)), "")</f>
        <v>#VALUE!</v>
      </c>
      <c r="H222" s="4" t="e">
        <f>IF(F221&lt;$D$5, ($C$5)*(Break_Even_Point_Calc.!$D$10+(Break_Even_Point_Calc.!$D$17*F222)), "")</f>
        <v>#VALUE!</v>
      </c>
      <c r="I222" s="17" t="e">
        <f t="shared" si="7"/>
        <v>#VALUE!</v>
      </c>
    </row>
    <row r="223" spans="2:9" x14ac:dyDescent="0.3">
      <c r="B223" s="1"/>
      <c r="C223" s="1"/>
      <c r="D223" s="1"/>
      <c r="E223" s="1"/>
      <c r="F223" s="28" t="e">
        <f t="shared" si="6"/>
        <v>#VALUE!</v>
      </c>
      <c r="G223" s="4" t="e">
        <f>IF(F222&lt;$D$5, ($C$5)*(Break_Even_Point_Calc.!$F$10+(Break_Even_Point_Calc.!$F$17*F223)), "")</f>
        <v>#VALUE!</v>
      </c>
      <c r="H223" s="4" t="e">
        <f>IF(F222&lt;$D$5, ($C$5)*(Break_Even_Point_Calc.!$D$10+(Break_Even_Point_Calc.!$D$17*F223)), "")</f>
        <v>#VALUE!</v>
      </c>
      <c r="I223" s="17" t="e">
        <f t="shared" si="7"/>
        <v>#VALUE!</v>
      </c>
    </row>
    <row r="224" spans="2:9" x14ac:dyDescent="0.3">
      <c r="B224" s="1"/>
      <c r="C224" s="1"/>
      <c r="D224" s="1"/>
      <c r="E224" s="1"/>
      <c r="F224" s="28" t="e">
        <f t="shared" si="6"/>
        <v>#VALUE!</v>
      </c>
      <c r="G224" s="4" t="e">
        <f>IF(F223&lt;$D$5, ($C$5)*(Break_Even_Point_Calc.!$F$10+(Break_Even_Point_Calc.!$F$17*F224)), "")</f>
        <v>#VALUE!</v>
      </c>
      <c r="H224" s="4" t="e">
        <f>IF(F223&lt;$D$5, ($C$5)*(Break_Even_Point_Calc.!$D$10+(Break_Even_Point_Calc.!$D$17*F224)), "")</f>
        <v>#VALUE!</v>
      </c>
      <c r="I224" s="17" t="e">
        <f t="shared" si="7"/>
        <v>#VALUE!</v>
      </c>
    </row>
    <row r="225" spans="2:9" x14ac:dyDescent="0.3">
      <c r="B225" s="1"/>
      <c r="C225" s="1"/>
      <c r="D225" s="1"/>
      <c r="E225" s="1"/>
      <c r="F225" s="28" t="e">
        <f t="shared" si="6"/>
        <v>#VALUE!</v>
      </c>
      <c r="G225" s="4" t="e">
        <f>IF(F224&lt;$D$5, ($C$5)*(Break_Even_Point_Calc.!$F$10+(Break_Even_Point_Calc.!$F$17*F225)), "")</f>
        <v>#VALUE!</v>
      </c>
      <c r="H225" s="4" t="e">
        <f>IF(F224&lt;$D$5, ($C$5)*(Break_Even_Point_Calc.!$D$10+(Break_Even_Point_Calc.!$D$17*F225)), "")</f>
        <v>#VALUE!</v>
      </c>
      <c r="I225" s="17" t="e">
        <f t="shared" si="7"/>
        <v>#VALUE!</v>
      </c>
    </row>
    <row r="226" spans="2:9" x14ac:dyDescent="0.3">
      <c r="B226" s="1"/>
      <c r="C226" s="1"/>
      <c r="D226" s="1"/>
      <c r="E226" s="1"/>
      <c r="F226" s="28" t="e">
        <f t="shared" si="6"/>
        <v>#VALUE!</v>
      </c>
      <c r="G226" s="4" t="e">
        <f>IF(F225&lt;$D$5, ($C$5)*(Break_Even_Point_Calc.!$F$10+(Break_Even_Point_Calc.!$F$17*F226)), "")</f>
        <v>#VALUE!</v>
      </c>
      <c r="H226" s="4" t="e">
        <f>IF(F225&lt;$D$5, ($C$5)*(Break_Even_Point_Calc.!$D$10+(Break_Even_Point_Calc.!$D$17*F226)), "")</f>
        <v>#VALUE!</v>
      </c>
      <c r="I226" s="17" t="e">
        <f t="shared" si="7"/>
        <v>#VALUE!</v>
      </c>
    </row>
    <row r="227" spans="2:9" x14ac:dyDescent="0.3">
      <c r="B227" s="1"/>
      <c r="C227" s="1"/>
      <c r="D227" s="1"/>
      <c r="E227" s="1"/>
      <c r="F227" s="28" t="e">
        <f t="shared" si="6"/>
        <v>#VALUE!</v>
      </c>
      <c r="G227" s="4" t="e">
        <f>IF(F226&lt;$D$5, ($C$5)*(Break_Even_Point_Calc.!$F$10+(Break_Even_Point_Calc.!$F$17*F227)), "")</f>
        <v>#VALUE!</v>
      </c>
      <c r="H227" s="4" t="e">
        <f>IF(F226&lt;$D$5, ($C$5)*(Break_Even_Point_Calc.!$D$10+(Break_Even_Point_Calc.!$D$17*F227)), "")</f>
        <v>#VALUE!</v>
      </c>
      <c r="I227" s="17" t="e">
        <f t="shared" si="7"/>
        <v>#VALUE!</v>
      </c>
    </row>
    <row r="228" spans="2:9" x14ac:dyDescent="0.3">
      <c r="B228" s="1"/>
      <c r="C228" s="1"/>
      <c r="D228" s="1"/>
      <c r="E228" s="1"/>
      <c r="F228" s="28" t="e">
        <f t="shared" si="6"/>
        <v>#VALUE!</v>
      </c>
      <c r="G228" s="4" t="e">
        <f>IF(F227&lt;$D$5, ($C$5)*(Break_Even_Point_Calc.!$F$10+(Break_Even_Point_Calc.!$F$17*F228)), "")</f>
        <v>#VALUE!</v>
      </c>
      <c r="H228" s="4" t="e">
        <f>IF(F227&lt;$D$5, ($C$5)*(Break_Even_Point_Calc.!$D$10+(Break_Even_Point_Calc.!$D$17*F228)), "")</f>
        <v>#VALUE!</v>
      </c>
      <c r="I228" s="17" t="e">
        <f t="shared" si="7"/>
        <v>#VALUE!</v>
      </c>
    </row>
    <row r="229" spans="2:9" x14ac:dyDescent="0.3">
      <c r="B229" s="1"/>
      <c r="C229" s="1"/>
      <c r="D229" s="1"/>
      <c r="E229" s="1"/>
      <c r="F229" s="28" t="e">
        <f t="shared" si="6"/>
        <v>#VALUE!</v>
      </c>
      <c r="G229" s="4" t="e">
        <f>IF(F228&lt;$D$5, ($C$5)*(Break_Even_Point_Calc.!$F$10+(Break_Even_Point_Calc.!$F$17*F229)), "")</f>
        <v>#VALUE!</v>
      </c>
      <c r="H229" s="4" t="e">
        <f>IF(F228&lt;$D$5, ($C$5)*(Break_Even_Point_Calc.!$D$10+(Break_Even_Point_Calc.!$D$17*F229)), "")</f>
        <v>#VALUE!</v>
      </c>
      <c r="I229" s="17" t="e">
        <f t="shared" si="7"/>
        <v>#VALUE!</v>
      </c>
    </row>
    <row r="230" spans="2:9" x14ac:dyDescent="0.3">
      <c r="B230" s="1"/>
      <c r="C230" s="1"/>
      <c r="D230" s="1"/>
      <c r="E230" s="1"/>
      <c r="F230" s="28" t="e">
        <f t="shared" si="6"/>
        <v>#VALUE!</v>
      </c>
      <c r="G230" s="4" t="e">
        <f>IF(F229&lt;$D$5, ($C$5)*(Break_Even_Point_Calc.!$F$10+(Break_Even_Point_Calc.!$F$17*F230)), "")</f>
        <v>#VALUE!</v>
      </c>
      <c r="H230" s="4" t="e">
        <f>IF(F229&lt;$D$5, ($C$5)*(Break_Even_Point_Calc.!$D$10+(Break_Even_Point_Calc.!$D$17*F230)), "")</f>
        <v>#VALUE!</v>
      </c>
      <c r="I230" s="17" t="e">
        <f t="shared" si="7"/>
        <v>#VALUE!</v>
      </c>
    </row>
    <row r="231" spans="2:9" x14ac:dyDescent="0.3">
      <c r="B231" s="1"/>
      <c r="C231" s="1"/>
      <c r="D231" s="1"/>
      <c r="E231" s="1"/>
      <c r="F231" s="28" t="e">
        <f t="shared" si="6"/>
        <v>#VALUE!</v>
      </c>
      <c r="G231" s="4" t="e">
        <f>IF(F230&lt;$D$5, ($C$5)*(Break_Even_Point_Calc.!$F$10+(Break_Even_Point_Calc.!$F$17*F231)), "")</f>
        <v>#VALUE!</v>
      </c>
      <c r="H231" s="4" t="e">
        <f>IF(F230&lt;$D$5, ($C$5)*(Break_Even_Point_Calc.!$D$10+(Break_Even_Point_Calc.!$D$17*F231)), "")</f>
        <v>#VALUE!</v>
      </c>
      <c r="I231" s="17" t="e">
        <f t="shared" si="7"/>
        <v>#VALUE!</v>
      </c>
    </row>
    <row r="232" spans="2:9" x14ac:dyDescent="0.3">
      <c r="B232" s="1"/>
      <c r="C232" s="1"/>
      <c r="D232" s="1"/>
      <c r="E232" s="1"/>
      <c r="F232" s="28" t="e">
        <f t="shared" si="6"/>
        <v>#VALUE!</v>
      </c>
      <c r="G232" s="4" t="e">
        <f>IF(F231&lt;$D$5, ($C$5)*(Break_Even_Point_Calc.!$F$10+(Break_Even_Point_Calc.!$F$17*F232)), "")</f>
        <v>#VALUE!</v>
      </c>
      <c r="H232" s="4" t="e">
        <f>IF(F231&lt;$D$5, ($C$5)*(Break_Even_Point_Calc.!$D$10+(Break_Even_Point_Calc.!$D$17*F232)), "")</f>
        <v>#VALUE!</v>
      </c>
      <c r="I232" s="17" t="e">
        <f t="shared" si="7"/>
        <v>#VALUE!</v>
      </c>
    </row>
    <row r="233" spans="2:9" x14ac:dyDescent="0.3">
      <c r="B233" s="1"/>
      <c r="C233" s="1"/>
      <c r="D233" s="1"/>
      <c r="E233" s="1"/>
      <c r="F233" s="28" t="e">
        <f t="shared" si="6"/>
        <v>#VALUE!</v>
      </c>
      <c r="G233" s="4" t="e">
        <f>IF(F232&lt;$D$5, ($C$5)*(Break_Even_Point_Calc.!$F$10+(Break_Even_Point_Calc.!$F$17*F233)), "")</f>
        <v>#VALUE!</v>
      </c>
      <c r="H233" s="4" t="e">
        <f>IF(F232&lt;$D$5, ($C$5)*(Break_Even_Point_Calc.!$D$10+(Break_Even_Point_Calc.!$D$17*F233)), "")</f>
        <v>#VALUE!</v>
      </c>
      <c r="I233" s="17" t="e">
        <f t="shared" si="7"/>
        <v>#VALUE!</v>
      </c>
    </row>
    <row r="234" spans="2:9" x14ac:dyDescent="0.3">
      <c r="B234" s="1"/>
      <c r="C234" s="1"/>
      <c r="D234" s="1"/>
      <c r="E234" s="1"/>
      <c r="F234" s="28" t="e">
        <f t="shared" si="6"/>
        <v>#VALUE!</v>
      </c>
      <c r="G234" s="4" t="e">
        <f>IF(F233&lt;$D$5, ($C$5)*(Break_Even_Point_Calc.!$F$10+(Break_Even_Point_Calc.!$F$17*F234)), "")</f>
        <v>#VALUE!</v>
      </c>
      <c r="H234" s="4" t="e">
        <f>IF(F233&lt;$D$5, ($C$5)*(Break_Even_Point_Calc.!$D$10+(Break_Even_Point_Calc.!$D$17*F234)), "")</f>
        <v>#VALUE!</v>
      </c>
      <c r="I234" s="17" t="e">
        <f t="shared" si="7"/>
        <v>#VALUE!</v>
      </c>
    </row>
    <row r="235" spans="2:9" x14ac:dyDescent="0.3">
      <c r="B235" s="1"/>
      <c r="C235" s="1"/>
      <c r="D235" s="1"/>
      <c r="E235" s="1"/>
      <c r="F235" s="28" t="e">
        <f t="shared" si="6"/>
        <v>#VALUE!</v>
      </c>
      <c r="G235" s="4" t="e">
        <f>IF(F234&lt;$D$5, ($C$5)*(Break_Even_Point_Calc.!$F$10+(Break_Even_Point_Calc.!$F$17*F235)), "")</f>
        <v>#VALUE!</v>
      </c>
      <c r="H235" s="4" t="e">
        <f>IF(F234&lt;$D$5, ($C$5)*(Break_Even_Point_Calc.!$D$10+(Break_Even_Point_Calc.!$D$17*F235)), "")</f>
        <v>#VALUE!</v>
      </c>
      <c r="I235" s="17" t="e">
        <f t="shared" si="7"/>
        <v>#VALUE!</v>
      </c>
    </row>
    <row r="236" spans="2:9" x14ac:dyDescent="0.3">
      <c r="B236" s="1"/>
      <c r="C236" s="1"/>
      <c r="D236" s="1"/>
      <c r="E236" s="1"/>
      <c r="F236" s="28" t="e">
        <f t="shared" si="6"/>
        <v>#VALUE!</v>
      </c>
      <c r="G236" s="4" t="e">
        <f>IF(F235&lt;$D$5, ($C$5)*(Break_Even_Point_Calc.!$F$10+(Break_Even_Point_Calc.!$F$17*F236)), "")</f>
        <v>#VALUE!</v>
      </c>
      <c r="H236" s="4" t="e">
        <f>IF(F235&lt;$D$5, ($C$5)*(Break_Even_Point_Calc.!$D$10+(Break_Even_Point_Calc.!$D$17*F236)), "")</f>
        <v>#VALUE!</v>
      </c>
      <c r="I236" s="17" t="e">
        <f t="shared" si="7"/>
        <v>#VALUE!</v>
      </c>
    </row>
    <row r="237" spans="2:9" x14ac:dyDescent="0.3">
      <c r="B237" s="1"/>
      <c r="C237" s="1"/>
      <c r="D237" s="1"/>
      <c r="E237" s="1"/>
      <c r="F237" s="28" t="e">
        <f t="shared" si="6"/>
        <v>#VALUE!</v>
      </c>
      <c r="G237" s="4" t="e">
        <f>IF(F236&lt;$D$5, ($C$5)*(Break_Even_Point_Calc.!$F$10+(Break_Even_Point_Calc.!$F$17*F237)), "")</f>
        <v>#VALUE!</v>
      </c>
      <c r="H237" s="4" t="e">
        <f>IF(F236&lt;$D$5, ($C$5)*(Break_Even_Point_Calc.!$D$10+(Break_Even_Point_Calc.!$D$17*F237)), "")</f>
        <v>#VALUE!</v>
      </c>
      <c r="I237" s="17" t="e">
        <f t="shared" si="7"/>
        <v>#VALUE!</v>
      </c>
    </row>
    <row r="238" spans="2:9" x14ac:dyDescent="0.3">
      <c r="B238" s="1"/>
      <c r="C238" s="1"/>
      <c r="D238" s="1"/>
      <c r="E238" s="1"/>
      <c r="F238" s="28" t="e">
        <f t="shared" si="6"/>
        <v>#VALUE!</v>
      </c>
      <c r="G238" s="4" t="e">
        <f>IF(F237&lt;$D$5, ($C$5)*(Break_Even_Point_Calc.!$F$10+(Break_Even_Point_Calc.!$F$17*F238)), "")</f>
        <v>#VALUE!</v>
      </c>
      <c r="H238" s="4" t="e">
        <f>IF(F237&lt;$D$5, ($C$5)*(Break_Even_Point_Calc.!$D$10+(Break_Even_Point_Calc.!$D$17*F238)), "")</f>
        <v>#VALUE!</v>
      </c>
      <c r="I238" s="17" t="e">
        <f t="shared" si="7"/>
        <v>#VALUE!</v>
      </c>
    </row>
    <row r="239" spans="2:9" x14ac:dyDescent="0.3">
      <c r="B239" s="1"/>
      <c r="C239" s="1"/>
      <c r="D239" s="1"/>
      <c r="E239" s="1"/>
      <c r="F239" s="28" t="e">
        <f t="shared" si="6"/>
        <v>#VALUE!</v>
      </c>
      <c r="G239" s="4" t="e">
        <f>IF(F238&lt;$D$5, ($C$5)*(Break_Even_Point_Calc.!$F$10+(Break_Even_Point_Calc.!$F$17*F239)), "")</f>
        <v>#VALUE!</v>
      </c>
      <c r="H239" s="4" t="e">
        <f>IF(F238&lt;$D$5, ($C$5)*(Break_Even_Point_Calc.!$D$10+(Break_Even_Point_Calc.!$D$17*F239)), "")</f>
        <v>#VALUE!</v>
      </c>
      <c r="I239" s="17" t="e">
        <f t="shared" si="7"/>
        <v>#VALUE!</v>
      </c>
    </row>
    <row r="240" spans="2:9" x14ac:dyDescent="0.3">
      <c r="B240" s="1"/>
      <c r="C240" s="1"/>
      <c r="D240" s="1"/>
      <c r="E240" s="1"/>
      <c r="F240" s="28" t="e">
        <f t="shared" si="6"/>
        <v>#VALUE!</v>
      </c>
      <c r="G240" s="4" t="e">
        <f>IF(F239&lt;$D$5, ($C$5)*(Break_Even_Point_Calc.!$F$10+(Break_Even_Point_Calc.!$F$17*F240)), "")</f>
        <v>#VALUE!</v>
      </c>
      <c r="H240" s="4" t="e">
        <f>IF(F239&lt;$D$5, ($C$5)*(Break_Even_Point_Calc.!$D$10+(Break_Even_Point_Calc.!$D$17*F240)), "")</f>
        <v>#VALUE!</v>
      </c>
      <c r="I240" s="17" t="e">
        <f t="shared" si="7"/>
        <v>#VALUE!</v>
      </c>
    </row>
    <row r="241" spans="2:9" x14ac:dyDescent="0.3">
      <c r="B241" s="1"/>
      <c r="C241" s="1"/>
      <c r="D241" s="1"/>
      <c r="E241" s="1"/>
      <c r="F241" s="28" t="e">
        <f t="shared" si="6"/>
        <v>#VALUE!</v>
      </c>
      <c r="G241" s="4" t="e">
        <f>IF(F240&lt;$D$5, ($C$5)*(Break_Even_Point_Calc.!$F$10+(Break_Even_Point_Calc.!$F$17*F241)), "")</f>
        <v>#VALUE!</v>
      </c>
      <c r="H241" s="4" t="e">
        <f>IF(F240&lt;$D$5, ($C$5)*(Break_Even_Point_Calc.!$D$10+(Break_Even_Point_Calc.!$D$17*F241)), "")</f>
        <v>#VALUE!</v>
      </c>
      <c r="I241" s="17" t="e">
        <f t="shared" si="7"/>
        <v>#VALUE!</v>
      </c>
    </row>
    <row r="242" spans="2:9" x14ac:dyDescent="0.3">
      <c r="B242" s="1"/>
      <c r="C242" s="1"/>
      <c r="D242" s="1"/>
      <c r="E242" s="1"/>
      <c r="F242" s="28" t="e">
        <f t="shared" si="6"/>
        <v>#VALUE!</v>
      </c>
      <c r="G242" s="4" t="e">
        <f>IF(F241&lt;$D$5, ($C$5)*(Break_Even_Point_Calc.!$F$10+(Break_Even_Point_Calc.!$F$17*F242)), "")</f>
        <v>#VALUE!</v>
      </c>
      <c r="H242" s="4" t="e">
        <f>IF(F241&lt;$D$5, ($C$5)*(Break_Even_Point_Calc.!$D$10+(Break_Even_Point_Calc.!$D$17*F242)), "")</f>
        <v>#VALUE!</v>
      </c>
      <c r="I242" s="17" t="e">
        <f t="shared" si="7"/>
        <v>#VALUE!</v>
      </c>
    </row>
    <row r="243" spans="2:9" x14ac:dyDescent="0.3">
      <c r="B243" s="1"/>
      <c r="C243" s="1"/>
      <c r="D243" s="1"/>
      <c r="E243" s="1"/>
      <c r="F243" s="28" t="e">
        <f t="shared" si="6"/>
        <v>#VALUE!</v>
      </c>
      <c r="G243" s="4" t="e">
        <f>IF(F242&lt;$D$5, ($C$5)*(Break_Even_Point_Calc.!$F$10+(Break_Even_Point_Calc.!$F$17*F243)), "")</f>
        <v>#VALUE!</v>
      </c>
      <c r="H243" s="4" t="e">
        <f>IF(F242&lt;$D$5, ($C$5)*(Break_Even_Point_Calc.!$D$10+(Break_Even_Point_Calc.!$D$17*F243)), "")</f>
        <v>#VALUE!</v>
      </c>
      <c r="I243" s="17" t="e">
        <f t="shared" si="7"/>
        <v>#VALUE!</v>
      </c>
    </row>
    <row r="244" spans="2:9" x14ac:dyDescent="0.3">
      <c r="B244" s="1"/>
      <c r="C244" s="1"/>
      <c r="D244" s="1"/>
      <c r="E244" s="1"/>
      <c r="F244" s="28" t="e">
        <f t="shared" si="6"/>
        <v>#VALUE!</v>
      </c>
      <c r="G244" s="4" t="e">
        <f>IF(F243&lt;$D$5, ($C$5)*(Break_Even_Point_Calc.!$F$10+(Break_Even_Point_Calc.!$F$17*F244)), "")</f>
        <v>#VALUE!</v>
      </c>
      <c r="H244" s="4" t="e">
        <f>IF(F243&lt;$D$5, ($C$5)*(Break_Even_Point_Calc.!$D$10+(Break_Even_Point_Calc.!$D$17*F244)), "")</f>
        <v>#VALUE!</v>
      </c>
      <c r="I244" s="17" t="e">
        <f t="shared" si="7"/>
        <v>#VALUE!</v>
      </c>
    </row>
    <row r="245" spans="2:9" x14ac:dyDescent="0.3">
      <c r="B245" s="1"/>
      <c r="C245" s="1"/>
      <c r="D245" s="1"/>
      <c r="E245" s="1"/>
      <c r="F245" s="28" t="e">
        <f t="shared" si="6"/>
        <v>#VALUE!</v>
      </c>
      <c r="G245" s="4" t="e">
        <f>IF(F244&lt;$D$5, ($C$5)*(Break_Even_Point_Calc.!$F$10+(Break_Even_Point_Calc.!$F$17*F245)), "")</f>
        <v>#VALUE!</v>
      </c>
      <c r="H245" s="4" t="e">
        <f>IF(F244&lt;$D$5, ($C$5)*(Break_Even_Point_Calc.!$D$10+(Break_Even_Point_Calc.!$D$17*F245)), "")</f>
        <v>#VALUE!</v>
      </c>
      <c r="I245" s="17" t="e">
        <f t="shared" si="7"/>
        <v>#VALUE!</v>
      </c>
    </row>
    <row r="246" spans="2:9" x14ac:dyDescent="0.3">
      <c r="B246" s="1"/>
      <c r="C246" s="1"/>
      <c r="D246" s="1"/>
      <c r="E246" s="1"/>
      <c r="F246" s="28" t="e">
        <f t="shared" si="6"/>
        <v>#VALUE!</v>
      </c>
      <c r="G246" s="4" t="e">
        <f>IF(F245&lt;$D$5, ($C$5)*(Break_Even_Point_Calc.!$F$10+(Break_Even_Point_Calc.!$F$17*F246)), "")</f>
        <v>#VALUE!</v>
      </c>
      <c r="H246" s="4" t="e">
        <f>IF(F245&lt;$D$5, ($C$5)*(Break_Even_Point_Calc.!$D$10+(Break_Even_Point_Calc.!$D$17*F246)), "")</f>
        <v>#VALUE!</v>
      </c>
      <c r="I246" s="17" t="e">
        <f t="shared" si="7"/>
        <v>#VALUE!</v>
      </c>
    </row>
    <row r="247" spans="2:9" x14ac:dyDescent="0.3">
      <c r="B247" s="1"/>
      <c r="C247" s="1"/>
      <c r="D247" s="1"/>
      <c r="E247" s="1"/>
      <c r="F247" s="28" t="e">
        <f t="shared" si="6"/>
        <v>#VALUE!</v>
      </c>
      <c r="G247" s="4" t="e">
        <f>IF(F246&lt;$D$5, ($C$5)*(Break_Even_Point_Calc.!$F$10+(Break_Even_Point_Calc.!$F$17*F247)), "")</f>
        <v>#VALUE!</v>
      </c>
      <c r="H247" s="4" t="e">
        <f>IF(F246&lt;$D$5, ($C$5)*(Break_Even_Point_Calc.!$D$10+(Break_Even_Point_Calc.!$D$17*F247)), "")</f>
        <v>#VALUE!</v>
      </c>
      <c r="I247" s="17" t="e">
        <f t="shared" si="7"/>
        <v>#VALUE!</v>
      </c>
    </row>
    <row r="248" spans="2:9" x14ac:dyDescent="0.3">
      <c r="B248" s="1"/>
      <c r="C248" s="1"/>
      <c r="D248" s="1"/>
      <c r="E248" s="1"/>
      <c r="F248" s="28" t="e">
        <f t="shared" si="6"/>
        <v>#VALUE!</v>
      </c>
      <c r="G248" s="4" t="e">
        <f>IF(F247&lt;$D$5, ($C$5)*(Break_Even_Point_Calc.!$F$10+(Break_Even_Point_Calc.!$F$17*F248)), "")</f>
        <v>#VALUE!</v>
      </c>
      <c r="H248" s="4" t="e">
        <f>IF(F247&lt;$D$5, ($C$5)*(Break_Even_Point_Calc.!$D$10+(Break_Even_Point_Calc.!$D$17*F248)), "")</f>
        <v>#VALUE!</v>
      </c>
      <c r="I248" s="17" t="e">
        <f t="shared" si="7"/>
        <v>#VALUE!</v>
      </c>
    </row>
    <row r="249" spans="2:9" x14ac:dyDescent="0.3">
      <c r="B249" s="1"/>
      <c r="C249" s="1"/>
      <c r="D249" s="1"/>
      <c r="E249" s="1"/>
      <c r="F249" s="28" t="e">
        <f t="shared" si="6"/>
        <v>#VALUE!</v>
      </c>
      <c r="G249" s="4" t="e">
        <f>IF(F248&lt;$D$5, ($C$5)*(Break_Even_Point_Calc.!$F$10+(Break_Even_Point_Calc.!$F$17*F249)), "")</f>
        <v>#VALUE!</v>
      </c>
      <c r="H249" s="4" t="e">
        <f>IF(F248&lt;$D$5, ($C$5)*(Break_Even_Point_Calc.!$D$10+(Break_Even_Point_Calc.!$D$17*F249)), "")</f>
        <v>#VALUE!</v>
      </c>
      <c r="I249" s="17" t="e">
        <f t="shared" si="7"/>
        <v>#VALUE!</v>
      </c>
    </row>
    <row r="250" spans="2:9" x14ac:dyDescent="0.3">
      <c r="B250" s="1"/>
      <c r="C250" s="1"/>
      <c r="D250" s="1"/>
      <c r="E250" s="1"/>
      <c r="F250" s="28" t="e">
        <f t="shared" si="6"/>
        <v>#VALUE!</v>
      </c>
      <c r="G250" s="4" t="e">
        <f>IF(F249&lt;$D$5, ($C$5)*(Break_Even_Point_Calc.!$F$10+(Break_Even_Point_Calc.!$F$17*F250)), "")</f>
        <v>#VALUE!</v>
      </c>
      <c r="H250" s="4" t="e">
        <f>IF(F249&lt;$D$5, ($C$5)*(Break_Even_Point_Calc.!$D$10+(Break_Even_Point_Calc.!$D$17*F250)), "")</f>
        <v>#VALUE!</v>
      </c>
      <c r="I250" s="17" t="e">
        <f t="shared" si="7"/>
        <v>#VALUE!</v>
      </c>
    </row>
    <row r="251" spans="2:9" x14ac:dyDescent="0.3">
      <c r="B251" s="1"/>
      <c r="C251" s="1"/>
      <c r="D251" s="1"/>
      <c r="E251" s="1"/>
      <c r="F251" s="28" t="e">
        <f t="shared" si="6"/>
        <v>#VALUE!</v>
      </c>
      <c r="G251" s="4" t="e">
        <f>IF(F250&lt;$D$5, ($C$5)*(Break_Even_Point_Calc.!$F$10+(Break_Even_Point_Calc.!$F$17*F251)), "")</f>
        <v>#VALUE!</v>
      </c>
      <c r="H251" s="4" t="e">
        <f>IF(F250&lt;$D$5, ($C$5)*(Break_Even_Point_Calc.!$D$10+(Break_Even_Point_Calc.!$D$17*F251)), "")</f>
        <v>#VALUE!</v>
      </c>
      <c r="I251" s="17" t="e">
        <f t="shared" si="7"/>
        <v>#VALUE!</v>
      </c>
    </row>
    <row r="252" spans="2:9" x14ac:dyDescent="0.3">
      <c r="B252" s="1"/>
      <c r="C252" s="1"/>
      <c r="D252" s="1"/>
      <c r="E252" s="1"/>
      <c r="F252" s="28" t="e">
        <f t="shared" si="6"/>
        <v>#VALUE!</v>
      </c>
      <c r="G252" s="4" t="e">
        <f>IF(F251&lt;$D$5, ($C$5)*(Break_Even_Point_Calc.!$F$10+(Break_Even_Point_Calc.!$F$17*F252)), "")</f>
        <v>#VALUE!</v>
      </c>
      <c r="H252" s="4" t="e">
        <f>IF(F251&lt;$D$5, ($C$5)*(Break_Even_Point_Calc.!$D$10+(Break_Even_Point_Calc.!$D$17*F252)), "")</f>
        <v>#VALUE!</v>
      </c>
      <c r="I252" s="17" t="e">
        <f t="shared" si="7"/>
        <v>#VALUE!</v>
      </c>
    </row>
    <row r="253" spans="2:9" x14ac:dyDescent="0.3">
      <c r="B253" s="1"/>
      <c r="C253" s="1"/>
      <c r="D253" s="1"/>
      <c r="E253" s="1"/>
      <c r="F253" s="28" t="e">
        <f t="shared" si="6"/>
        <v>#VALUE!</v>
      </c>
      <c r="G253" s="4" t="e">
        <f>IF(F252&lt;$D$5, ($C$5)*(Break_Even_Point_Calc.!$F$10+(Break_Even_Point_Calc.!$F$17*F253)), "")</f>
        <v>#VALUE!</v>
      </c>
      <c r="H253" s="4" t="e">
        <f>IF(F252&lt;$D$5, ($C$5)*(Break_Even_Point_Calc.!$D$10+(Break_Even_Point_Calc.!$D$17*F253)), "")</f>
        <v>#VALUE!</v>
      </c>
      <c r="I253" s="17" t="e">
        <f t="shared" si="7"/>
        <v>#VALUE!</v>
      </c>
    </row>
    <row r="254" spans="2:9" x14ac:dyDescent="0.3">
      <c r="B254" s="1"/>
      <c r="C254" s="1"/>
      <c r="D254" s="1"/>
      <c r="E254" s="1"/>
      <c r="F254" s="28" t="e">
        <f t="shared" si="6"/>
        <v>#VALUE!</v>
      </c>
      <c r="G254" s="4" t="e">
        <f>IF(F253&lt;$D$5, ($C$5)*(Break_Even_Point_Calc.!$F$10+(Break_Even_Point_Calc.!$F$17*F254)), "")</f>
        <v>#VALUE!</v>
      </c>
      <c r="H254" s="4" t="e">
        <f>IF(F253&lt;$D$5, ($C$5)*(Break_Even_Point_Calc.!$D$10+(Break_Even_Point_Calc.!$D$17*F254)), "")</f>
        <v>#VALUE!</v>
      </c>
      <c r="I254" s="17" t="e">
        <f t="shared" si="7"/>
        <v>#VALUE!</v>
      </c>
    </row>
    <row r="255" spans="2:9" x14ac:dyDescent="0.3">
      <c r="B255" s="1"/>
      <c r="C255" s="1"/>
      <c r="D255" s="1"/>
      <c r="E255" s="1"/>
      <c r="F255" s="28" t="e">
        <f t="shared" si="6"/>
        <v>#VALUE!</v>
      </c>
      <c r="G255" s="4" t="e">
        <f>IF(F254&lt;$D$5, ($C$5)*(Break_Even_Point_Calc.!$F$10+(Break_Even_Point_Calc.!$F$17*F255)), "")</f>
        <v>#VALUE!</v>
      </c>
      <c r="H255" s="4" t="e">
        <f>IF(F254&lt;$D$5, ($C$5)*(Break_Even_Point_Calc.!$D$10+(Break_Even_Point_Calc.!$D$17*F255)), "")</f>
        <v>#VALUE!</v>
      </c>
      <c r="I255" s="17" t="e">
        <f t="shared" si="7"/>
        <v>#VALUE!</v>
      </c>
    </row>
    <row r="256" spans="2:9" x14ac:dyDescent="0.3">
      <c r="B256" s="1"/>
      <c r="C256" s="1"/>
      <c r="D256" s="1"/>
      <c r="E256" s="1"/>
      <c r="F256" s="28" t="e">
        <f t="shared" si="6"/>
        <v>#VALUE!</v>
      </c>
      <c r="G256" s="4" t="e">
        <f>IF(F255&lt;$D$5, ($C$5)*(Break_Even_Point_Calc.!$F$10+(Break_Even_Point_Calc.!$F$17*F256)), "")</f>
        <v>#VALUE!</v>
      </c>
      <c r="H256" s="4" t="e">
        <f>IF(F255&lt;$D$5, ($C$5)*(Break_Even_Point_Calc.!$D$10+(Break_Even_Point_Calc.!$D$17*F256)), "")</f>
        <v>#VALUE!</v>
      </c>
      <c r="I256" s="17" t="e">
        <f t="shared" si="7"/>
        <v>#VALUE!</v>
      </c>
    </row>
    <row r="257" spans="2:9" x14ac:dyDescent="0.3">
      <c r="B257" s="1"/>
      <c r="C257" s="1"/>
      <c r="D257" s="1"/>
      <c r="E257" s="1"/>
      <c r="F257" s="28" t="e">
        <f t="shared" si="6"/>
        <v>#VALUE!</v>
      </c>
      <c r="G257" s="4" t="e">
        <f>IF(F256&lt;$D$5, ($C$5)*(Break_Even_Point_Calc.!$F$10+(Break_Even_Point_Calc.!$F$17*F257)), "")</f>
        <v>#VALUE!</v>
      </c>
      <c r="H257" s="4" t="e">
        <f>IF(F256&lt;$D$5, ($C$5)*(Break_Even_Point_Calc.!$D$10+(Break_Even_Point_Calc.!$D$17*F257)), "")</f>
        <v>#VALUE!</v>
      </c>
      <c r="I257" s="17" t="e">
        <f t="shared" si="7"/>
        <v>#VALUE!</v>
      </c>
    </row>
    <row r="258" spans="2:9" x14ac:dyDescent="0.3">
      <c r="B258" s="1"/>
      <c r="C258" s="1"/>
      <c r="D258" s="1"/>
      <c r="E258" s="1"/>
      <c r="F258" s="28" t="e">
        <f t="shared" si="6"/>
        <v>#VALUE!</v>
      </c>
      <c r="G258" s="4" t="e">
        <f>IF(F257&lt;$D$5, ($C$5)*(Break_Even_Point_Calc.!$F$10+(Break_Even_Point_Calc.!$F$17*F258)), "")</f>
        <v>#VALUE!</v>
      </c>
      <c r="H258" s="4" t="e">
        <f>IF(F257&lt;$D$5, ($C$5)*(Break_Even_Point_Calc.!$D$10+(Break_Even_Point_Calc.!$D$17*F258)), "")</f>
        <v>#VALUE!</v>
      </c>
      <c r="I258" s="17" t="e">
        <f t="shared" si="7"/>
        <v>#VALUE!</v>
      </c>
    </row>
    <row r="259" spans="2:9" x14ac:dyDescent="0.3">
      <c r="B259" s="1"/>
      <c r="C259" s="1"/>
      <c r="D259" s="1"/>
      <c r="E259" s="1"/>
      <c r="F259" s="28" t="e">
        <f t="shared" si="6"/>
        <v>#VALUE!</v>
      </c>
      <c r="G259" s="4" t="e">
        <f>IF(F258&lt;$D$5, ($C$5)*(Break_Even_Point_Calc.!$F$10+(Break_Even_Point_Calc.!$F$17*F259)), "")</f>
        <v>#VALUE!</v>
      </c>
      <c r="H259" s="4" t="e">
        <f>IF(F258&lt;$D$5, ($C$5)*(Break_Even_Point_Calc.!$D$10+(Break_Even_Point_Calc.!$D$17*F259)), "")</f>
        <v>#VALUE!</v>
      </c>
      <c r="I259" s="17" t="e">
        <f t="shared" si="7"/>
        <v>#VALUE!</v>
      </c>
    </row>
    <row r="260" spans="2:9" x14ac:dyDescent="0.3">
      <c r="B260" s="1"/>
      <c r="C260" s="1"/>
      <c r="D260" s="1"/>
      <c r="E260" s="1"/>
      <c r="F260" s="28" t="e">
        <f t="shared" si="6"/>
        <v>#VALUE!</v>
      </c>
      <c r="G260" s="4" t="e">
        <f>IF(F259&lt;$D$5, ($C$5)*(Break_Even_Point_Calc.!$F$10+(Break_Even_Point_Calc.!$F$17*F260)), "")</f>
        <v>#VALUE!</v>
      </c>
      <c r="H260" s="4" t="e">
        <f>IF(F259&lt;$D$5, ($C$5)*(Break_Even_Point_Calc.!$D$10+(Break_Even_Point_Calc.!$D$17*F260)), "")</f>
        <v>#VALUE!</v>
      </c>
      <c r="I260" s="17" t="e">
        <f t="shared" si="7"/>
        <v>#VALUE!</v>
      </c>
    </row>
    <row r="261" spans="2:9" x14ac:dyDescent="0.3">
      <c r="B261" s="1"/>
      <c r="C261" s="1"/>
      <c r="D261" s="1"/>
      <c r="E261" s="1"/>
      <c r="F261" s="28" t="e">
        <f t="shared" si="6"/>
        <v>#VALUE!</v>
      </c>
      <c r="G261" s="4" t="e">
        <f>IF(F260&lt;$D$5, ($C$5)*(Break_Even_Point_Calc.!$F$10+(Break_Even_Point_Calc.!$F$17*F261)), "")</f>
        <v>#VALUE!</v>
      </c>
      <c r="H261" s="4" t="e">
        <f>IF(F260&lt;$D$5, ($C$5)*(Break_Even_Point_Calc.!$D$10+(Break_Even_Point_Calc.!$D$17*F261)), "")</f>
        <v>#VALUE!</v>
      </c>
      <c r="I261" s="17" t="e">
        <f t="shared" si="7"/>
        <v>#VALUE!</v>
      </c>
    </row>
    <row r="262" spans="2:9" x14ac:dyDescent="0.3">
      <c r="B262" s="1"/>
      <c r="C262" s="1"/>
      <c r="D262" s="1"/>
      <c r="E262" s="1"/>
      <c r="F262" s="28" t="e">
        <f t="shared" si="6"/>
        <v>#VALUE!</v>
      </c>
      <c r="G262" s="4" t="e">
        <f>IF(F261&lt;$D$5, ($C$5)*(Break_Even_Point_Calc.!$F$10+(Break_Even_Point_Calc.!$F$17*F262)), "")</f>
        <v>#VALUE!</v>
      </c>
      <c r="H262" s="4" t="e">
        <f>IF(F261&lt;$D$5, ($C$5)*(Break_Even_Point_Calc.!$D$10+(Break_Even_Point_Calc.!$D$17*F262)), "")</f>
        <v>#VALUE!</v>
      </c>
      <c r="I262" s="17" t="e">
        <f t="shared" si="7"/>
        <v>#VALUE!</v>
      </c>
    </row>
    <row r="263" spans="2:9" x14ac:dyDescent="0.3">
      <c r="B263" s="1"/>
      <c r="C263" s="1"/>
      <c r="D263" s="1"/>
      <c r="E263" s="1"/>
      <c r="F263" s="28" t="e">
        <f t="shared" ref="F263:F326" si="8">IF(F262=$D$5,"",F262+1)</f>
        <v>#VALUE!</v>
      </c>
      <c r="G263" s="4" t="e">
        <f>IF(F262&lt;$D$5, ($C$5)*(Break_Even_Point_Calc.!$F$10+(Break_Even_Point_Calc.!$F$17*F263)), "")</f>
        <v>#VALUE!</v>
      </c>
      <c r="H263" s="4" t="e">
        <f>IF(F262&lt;$D$5, ($C$5)*(Break_Even_Point_Calc.!$D$10+(Break_Even_Point_Calc.!$D$17*F263)), "")</f>
        <v>#VALUE!</v>
      </c>
      <c r="I263" s="17" t="e">
        <f t="shared" ref="I263:I326" si="9">IF(AND(G263-H263&lt;0,G262-H262&gt;0), TEXT(G263-H263,"0.00") &amp; " Breakeven Point", G263-H263)</f>
        <v>#VALUE!</v>
      </c>
    </row>
    <row r="264" spans="2:9" x14ac:dyDescent="0.3">
      <c r="B264" s="1"/>
      <c r="C264" s="1"/>
      <c r="D264" s="1"/>
      <c r="E264" s="1"/>
      <c r="F264" s="28" t="e">
        <f t="shared" si="8"/>
        <v>#VALUE!</v>
      </c>
      <c r="G264" s="4" t="e">
        <f>IF(F263&lt;$D$5, ($C$5)*(Break_Even_Point_Calc.!$F$10+(Break_Even_Point_Calc.!$F$17*F264)), "")</f>
        <v>#VALUE!</v>
      </c>
      <c r="H264" s="4" t="e">
        <f>IF(F263&lt;$D$5, ($C$5)*(Break_Even_Point_Calc.!$D$10+(Break_Even_Point_Calc.!$D$17*F264)), "")</f>
        <v>#VALUE!</v>
      </c>
      <c r="I264" s="17" t="e">
        <f t="shared" si="9"/>
        <v>#VALUE!</v>
      </c>
    </row>
    <row r="265" spans="2:9" x14ac:dyDescent="0.3">
      <c r="B265" s="1"/>
      <c r="C265" s="1"/>
      <c r="D265" s="1"/>
      <c r="E265" s="1"/>
      <c r="F265" s="28" t="e">
        <f t="shared" si="8"/>
        <v>#VALUE!</v>
      </c>
      <c r="G265" s="4" t="e">
        <f>IF(F264&lt;$D$5, ($C$5)*(Break_Even_Point_Calc.!$F$10+(Break_Even_Point_Calc.!$F$17*F265)), "")</f>
        <v>#VALUE!</v>
      </c>
      <c r="H265" s="4" t="e">
        <f>IF(F264&lt;$D$5, ($C$5)*(Break_Even_Point_Calc.!$D$10+(Break_Even_Point_Calc.!$D$17*F265)), "")</f>
        <v>#VALUE!</v>
      </c>
      <c r="I265" s="17" t="e">
        <f t="shared" si="9"/>
        <v>#VALUE!</v>
      </c>
    </row>
    <row r="266" spans="2:9" x14ac:dyDescent="0.3">
      <c r="B266" s="1"/>
      <c r="C266" s="1"/>
      <c r="D266" s="1"/>
      <c r="E266" s="1"/>
      <c r="F266" s="28" t="e">
        <f t="shared" si="8"/>
        <v>#VALUE!</v>
      </c>
      <c r="G266" s="4" t="e">
        <f>IF(F265&lt;$D$5, ($C$5)*(Break_Even_Point_Calc.!$F$10+(Break_Even_Point_Calc.!$F$17*F266)), "")</f>
        <v>#VALUE!</v>
      </c>
      <c r="H266" s="4" t="e">
        <f>IF(F265&lt;$D$5, ($C$5)*(Break_Even_Point_Calc.!$D$10+(Break_Even_Point_Calc.!$D$17*F266)), "")</f>
        <v>#VALUE!</v>
      </c>
      <c r="I266" s="17" t="e">
        <f t="shared" si="9"/>
        <v>#VALUE!</v>
      </c>
    </row>
    <row r="267" spans="2:9" x14ac:dyDescent="0.3">
      <c r="B267" s="1"/>
      <c r="C267" s="1"/>
      <c r="D267" s="1"/>
      <c r="E267" s="1"/>
      <c r="F267" s="28" t="e">
        <f t="shared" si="8"/>
        <v>#VALUE!</v>
      </c>
      <c r="G267" s="4" t="e">
        <f>IF(F266&lt;$D$5, ($C$5)*(Break_Even_Point_Calc.!$F$10+(Break_Even_Point_Calc.!$F$17*F267)), "")</f>
        <v>#VALUE!</v>
      </c>
      <c r="H267" s="4" t="e">
        <f>IF(F266&lt;$D$5, ($C$5)*(Break_Even_Point_Calc.!$D$10+(Break_Even_Point_Calc.!$D$17*F267)), "")</f>
        <v>#VALUE!</v>
      </c>
      <c r="I267" s="17" t="e">
        <f t="shared" si="9"/>
        <v>#VALUE!</v>
      </c>
    </row>
    <row r="268" spans="2:9" x14ac:dyDescent="0.3">
      <c r="B268" s="1"/>
      <c r="C268" s="1"/>
      <c r="D268" s="1"/>
      <c r="E268" s="1"/>
      <c r="F268" s="28" t="e">
        <f t="shared" si="8"/>
        <v>#VALUE!</v>
      </c>
      <c r="G268" s="4" t="e">
        <f>IF(F267&lt;$D$5, ($C$5)*(Break_Even_Point_Calc.!$F$10+(Break_Even_Point_Calc.!$F$17*F268)), "")</f>
        <v>#VALUE!</v>
      </c>
      <c r="H268" s="4" t="e">
        <f>IF(F267&lt;$D$5, ($C$5)*(Break_Even_Point_Calc.!$D$10+(Break_Even_Point_Calc.!$D$17*F268)), "")</f>
        <v>#VALUE!</v>
      </c>
      <c r="I268" s="17" t="e">
        <f t="shared" si="9"/>
        <v>#VALUE!</v>
      </c>
    </row>
    <row r="269" spans="2:9" x14ac:dyDescent="0.3">
      <c r="B269" s="1"/>
      <c r="C269" s="1"/>
      <c r="D269" s="1"/>
      <c r="E269" s="1"/>
      <c r="F269" s="28" t="e">
        <f t="shared" si="8"/>
        <v>#VALUE!</v>
      </c>
      <c r="G269" s="4" t="e">
        <f>IF(F268&lt;$D$5, ($C$5)*(Break_Even_Point_Calc.!$F$10+(Break_Even_Point_Calc.!$F$17*F269)), "")</f>
        <v>#VALUE!</v>
      </c>
      <c r="H269" s="4" t="e">
        <f>IF(F268&lt;$D$5, ($C$5)*(Break_Even_Point_Calc.!$D$10+(Break_Even_Point_Calc.!$D$17*F269)), "")</f>
        <v>#VALUE!</v>
      </c>
      <c r="I269" s="17" t="e">
        <f t="shared" si="9"/>
        <v>#VALUE!</v>
      </c>
    </row>
    <row r="270" spans="2:9" x14ac:dyDescent="0.3">
      <c r="B270" s="1"/>
      <c r="C270" s="1"/>
      <c r="D270" s="1"/>
      <c r="E270" s="1"/>
      <c r="F270" s="28" t="e">
        <f t="shared" si="8"/>
        <v>#VALUE!</v>
      </c>
      <c r="G270" s="4" t="e">
        <f>IF(F269&lt;$D$5, ($C$5)*(Break_Even_Point_Calc.!$F$10+(Break_Even_Point_Calc.!$F$17*F270)), "")</f>
        <v>#VALUE!</v>
      </c>
      <c r="H270" s="4" t="e">
        <f>IF(F269&lt;$D$5, ($C$5)*(Break_Even_Point_Calc.!$D$10+(Break_Even_Point_Calc.!$D$17*F270)), "")</f>
        <v>#VALUE!</v>
      </c>
      <c r="I270" s="17" t="e">
        <f t="shared" si="9"/>
        <v>#VALUE!</v>
      </c>
    </row>
    <row r="271" spans="2:9" x14ac:dyDescent="0.3">
      <c r="B271" s="1"/>
      <c r="C271" s="1"/>
      <c r="D271" s="1"/>
      <c r="E271" s="1"/>
      <c r="F271" s="28" t="e">
        <f t="shared" si="8"/>
        <v>#VALUE!</v>
      </c>
      <c r="G271" s="4" t="e">
        <f>IF(F270&lt;$D$5, ($C$5)*(Break_Even_Point_Calc.!$F$10+(Break_Even_Point_Calc.!$F$17*F271)), "")</f>
        <v>#VALUE!</v>
      </c>
      <c r="H271" s="4" t="e">
        <f>IF(F270&lt;$D$5, ($C$5)*(Break_Even_Point_Calc.!$D$10+(Break_Even_Point_Calc.!$D$17*F271)), "")</f>
        <v>#VALUE!</v>
      </c>
      <c r="I271" s="17" t="e">
        <f t="shared" si="9"/>
        <v>#VALUE!</v>
      </c>
    </row>
    <row r="272" spans="2:9" x14ac:dyDescent="0.3">
      <c r="B272" s="1"/>
      <c r="C272" s="1"/>
      <c r="D272" s="1"/>
      <c r="E272" s="1"/>
      <c r="F272" s="28" t="e">
        <f t="shared" si="8"/>
        <v>#VALUE!</v>
      </c>
      <c r="G272" s="4" t="e">
        <f>IF(F271&lt;$D$5, ($C$5)*(Break_Even_Point_Calc.!$F$10+(Break_Even_Point_Calc.!$F$17*F272)), "")</f>
        <v>#VALUE!</v>
      </c>
      <c r="H272" s="4" t="e">
        <f>IF(F271&lt;$D$5, ($C$5)*(Break_Even_Point_Calc.!$D$10+(Break_Even_Point_Calc.!$D$17*F272)), "")</f>
        <v>#VALUE!</v>
      </c>
      <c r="I272" s="17" t="e">
        <f t="shared" si="9"/>
        <v>#VALUE!</v>
      </c>
    </row>
    <row r="273" spans="2:9" x14ac:dyDescent="0.3">
      <c r="B273" s="1"/>
      <c r="C273" s="1"/>
      <c r="D273" s="1"/>
      <c r="E273" s="1"/>
      <c r="F273" s="28" t="e">
        <f t="shared" si="8"/>
        <v>#VALUE!</v>
      </c>
      <c r="G273" s="4" t="e">
        <f>IF(F272&lt;$D$5, ($C$5)*(Break_Even_Point_Calc.!$F$10+(Break_Even_Point_Calc.!$F$17*F273)), "")</f>
        <v>#VALUE!</v>
      </c>
      <c r="H273" s="4" t="e">
        <f>IF(F272&lt;$D$5, ($C$5)*(Break_Even_Point_Calc.!$D$10+(Break_Even_Point_Calc.!$D$17*F273)), "")</f>
        <v>#VALUE!</v>
      </c>
      <c r="I273" s="17" t="e">
        <f t="shared" si="9"/>
        <v>#VALUE!</v>
      </c>
    </row>
    <row r="274" spans="2:9" x14ac:dyDescent="0.3">
      <c r="B274" s="1"/>
      <c r="C274" s="1"/>
      <c r="D274" s="1"/>
      <c r="E274" s="1"/>
      <c r="F274" s="28" t="e">
        <f t="shared" si="8"/>
        <v>#VALUE!</v>
      </c>
      <c r="G274" s="4" t="e">
        <f>IF(F273&lt;$D$5, ($C$5)*(Break_Even_Point_Calc.!$F$10+(Break_Even_Point_Calc.!$F$17*F274)), "")</f>
        <v>#VALUE!</v>
      </c>
      <c r="H274" s="4" t="e">
        <f>IF(F273&lt;$D$5, ($C$5)*(Break_Even_Point_Calc.!$D$10+(Break_Even_Point_Calc.!$D$17*F274)), "")</f>
        <v>#VALUE!</v>
      </c>
      <c r="I274" s="17" t="e">
        <f t="shared" si="9"/>
        <v>#VALUE!</v>
      </c>
    </row>
    <row r="275" spans="2:9" x14ac:dyDescent="0.3">
      <c r="B275" s="1"/>
      <c r="C275" s="1"/>
      <c r="D275" s="1"/>
      <c r="E275" s="1"/>
      <c r="F275" s="28" t="e">
        <f t="shared" si="8"/>
        <v>#VALUE!</v>
      </c>
      <c r="G275" s="4" t="e">
        <f>IF(F274&lt;$D$5, ($C$5)*(Break_Even_Point_Calc.!$F$10+(Break_Even_Point_Calc.!$F$17*F275)), "")</f>
        <v>#VALUE!</v>
      </c>
      <c r="H275" s="4" t="e">
        <f>IF(F274&lt;$D$5, ($C$5)*(Break_Even_Point_Calc.!$D$10+(Break_Even_Point_Calc.!$D$17*F275)), "")</f>
        <v>#VALUE!</v>
      </c>
      <c r="I275" s="17" t="e">
        <f t="shared" si="9"/>
        <v>#VALUE!</v>
      </c>
    </row>
    <row r="276" spans="2:9" x14ac:dyDescent="0.3">
      <c r="B276" s="1"/>
      <c r="C276" s="1"/>
      <c r="D276" s="1"/>
      <c r="E276" s="1"/>
      <c r="F276" s="28" t="e">
        <f t="shared" si="8"/>
        <v>#VALUE!</v>
      </c>
      <c r="G276" s="4" t="e">
        <f>IF(F275&lt;$D$5, ($C$5)*(Break_Even_Point_Calc.!$F$10+(Break_Even_Point_Calc.!$F$17*F276)), "")</f>
        <v>#VALUE!</v>
      </c>
      <c r="H276" s="4" t="e">
        <f>IF(F275&lt;$D$5, ($C$5)*(Break_Even_Point_Calc.!$D$10+(Break_Even_Point_Calc.!$D$17*F276)), "")</f>
        <v>#VALUE!</v>
      </c>
      <c r="I276" s="17" t="e">
        <f t="shared" si="9"/>
        <v>#VALUE!</v>
      </c>
    </row>
    <row r="277" spans="2:9" x14ac:dyDescent="0.3">
      <c r="B277" s="1"/>
      <c r="C277" s="1"/>
      <c r="D277" s="1"/>
      <c r="E277" s="1"/>
      <c r="F277" s="28" t="e">
        <f t="shared" si="8"/>
        <v>#VALUE!</v>
      </c>
      <c r="G277" s="4" t="e">
        <f>IF(F276&lt;$D$5, ($C$5)*(Break_Even_Point_Calc.!$F$10+(Break_Even_Point_Calc.!$F$17*F277)), "")</f>
        <v>#VALUE!</v>
      </c>
      <c r="H277" s="4" t="e">
        <f>IF(F276&lt;$D$5, ($C$5)*(Break_Even_Point_Calc.!$D$10+(Break_Even_Point_Calc.!$D$17*F277)), "")</f>
        <v>#VALUE!</v>
      </c>
      <c r="I277" s="17" t="e">
        <f t="shared" si="9"/>
        <v>#VALUE!</v>
      </c>
    </row>
    <row r="278" spans="2:9" x14ac:dyDescent="0.3">
      <c r="B278" s="1"/>
      <c r="C278" s="1"/>
      <c r="D278" s="1"/>
      <c r="E278" s="1"/>
      <c r="F278" s="28" t="e">
        <f t="shared" si="8"/>
        <v>#VALUE!</v>
      </c>
      <c r="G278" s="4" t="e">
        <f>IF(F277&lt;$D$5, ($C$5)*(Break_Even_Point_Calc.!$F$10+(Break_Even_Point_Calc.!$F$17*F278)), "")</f>
        <v>#VALUE!</v>
      </c>
      <c r="H278" s="4" t="e">
        <f>IF(F277&lt;$D$5, ($C$5)*(Break_Even_Point_Calc.!$D$10+(Break_Even_Point_Calc.!$D$17*F278)), "")</f>
        <v>#VALUE!</v>
      </c>
      <c r="I278" s="17" t="e">
        <f t="shared" si="9"/>
        <v>#VALUE!</v>
      </c>
    </row>
    <row r="279" spans="2:9" x14ac:dyDescent="0.3">
      <c r="B279" s="1"/>
      <c r="C279" s="1"/>
      <c r="D279" s="1"/>
      <c r="E279" s="1"/>
      <c r="F279" s="28" t="e">
        <f t="shared" si="8"/>
        <v>#VALUE!</v>
      </c>
      <c r="G279" s="4" t="e">
        <f>IF(F278&lt;$D$5, ($C$5)*(Break_Even_Point_Calc.!$F$10+(Break_Even_Point_Calc.!$F$17*F279)), "")</f>
        <v>#VALUE!</v>
      </c>
      <c r="H279" s="4" t="e">
        <f>IF(F278&lt;$D$5, ($C$5)*(Break_Even_Point_Calc.!$D$10+(Break_Even_Point_Calc.!$D$17*F279)), "")</f>
        <v>#VALUE!</v>
      </c>
      <c r="I279" s="17" t="e">
        <f t="shared" si="9"/>
        <v>#VALUE!</v>
      </c>
    </row>
    <row r="280" spans="2:9" x14ac:dyDescent="0.3">
      <c r="B280" s="1"/>
      <c r="C280" s="1"/>
      <c r="D280" s="1"/>
      <c r="E280" s="1"/>
      <c r="F280" s="28" t="e">
        <f t="shared" si="8"/>
        <v>#VALUE!</v>
      </c>
      <c r="G280" s="4" t="e">
        <f>IF(F279&lt;$D$5, ($C$5)*(Break_Even_Point_Calc.!$F$10+(Break_Even_Point_Calc.!$F$17*F280)), "")</f>
        <v>#VALUE!</v>
      </c>
      <c r="H280" s="4" t="e">
        <f>IF(F279&lt;$D$5, ($C$5)*(Break_Even_Point_Calc.!$D$10+(Break_Even_Point_Calc.!$D$17*F280)), "")</f>
        <v>#VALUE!</v>
      </c>
      <c r="I280" s="17" t="e">
        <f t="shared" si="9"/>
        <v>#VALUE!</v>
      </c>
    </row>
    <row r="281" spans="2:9" x14ac:dyDescent="0.3">
      <c r="B281" s="1"/>
      <c r="C281" s="1"/>
      <c r="D281" s="1"/>
      <c r="E281" s="1"/>
      <c r="F281" s="28" t="e">
        <f t="shared" si="8"/>
        <v>#VALUE!</v>
      </c>
      <c r="G281" s="4" t="e">
        <f>IF(F280&lt;$D$5, ($C$5)*(Break_Even_Point_Calc.!$F$10+(Break_Even_Point_Calc.!$F$17*F281)), "")</f>
        <v>#VALUE!</v>
      </c>
      <c r="H281" s="4" t="e">
        <f>IF(F280&lt;$D$5, ($C$5)*(Break_Even_Point_Calc.!$D$10+(Break_Even_Point_Calc.!$D$17*F281)), "")</f>
        <v>#VALUE!</v>
      </c>
      <c r="I281" s="17" t="e">
        <f t="shared" si="9"/>
        <v>#VALUE!</v>
      </c>
    </row>
    <row r="282" spans="2:9" x14ac:dyDescent="0.3">
      <c r="B282" s="1"/>
      <c r="C282" s="1"/>
      <c r="D282" s="1"/>
      <c r="E282" s="1"/>
      <c r="F282" s="28" t="e">
        <f t="shared" si="8"/>
        <v>#VALUE!</v>
      </c>
      <c r="G282" s="4" t="e">
        <f>IF(F281&lt;$D$5, ($C$5)*(Break_Even_Point_Calc.!$F$10+(Break_Even_Point_Calc.!$F$17*F282)), "")</f>
        <v>#VALUE!</v>
      </c>
      <c r="H282" s="4" t="e">
        <f>IF(F281&lt;$D$5, ($C$5)*(Break_Even_Point_Calc.!$D$10+(Break_Even_Point_Calc.!$D$17*F282)), "")</f>
        <v>#VALUE!</v>
      </c>
      <c r="I282" s="17" t="e">
        <f t="shared" si="9"/>
        <v>#VALUE!</v>
      </c>
    </row>
    <row r="283" spans="2:9" x14ac:dyDescent="0.3">
      <c r="B283" s="1"/>
      <c r="C283" s="1"/>
      <c r="D283" s="1"/>
      <c r="E283" s="1"/>
      <c r="F283" s="28" t="e">
        <f t="shared" si="8"/>
        <v>#VALUE!</v>
      </c>
      <c r="G283" s="4" t="e">
        <f>IF(F282&lt;$D$5, ($C$5)*(Break_Even_Point_Calc.!$F$10+(Break_Even_Point_Calc.!$F$17*F283)), "")</f>
        <v>#VALUE!</v>
      </c>
      <c r="H283" s="4" t="e">
        <f>IF(F282&lt;$D$5, ($C$5)*(Break_Even_Point_Calc.!$D$10+(Break_Even_Point_Calc.!$D$17*F283)), "")</f>
        <v>#VALUE!</v>
      </c>
      <c r="I283" s="17" t="e">
        <f t="shared" si="9"/>
        <v>#VALUE!</v>
      </c>
    </row>
    <row r="284" spans="2:9" x14ac:dyDescent="0.3">
      <c r="B284" s="1"/>
      <c r="C284" s="1"/>
      <c r="D284" s="1"/>
      <c r="E284" s="1"/>
      <c r="F284" s="28" t="e">
        <f t="shared" si="8"/>
        <v>#VALUE!</v>
      </c>
      <c r="G284" s="4" t="e">
        <f>IF(F283&lt;$D$5, ($C$5)*(Break_Even_Point_Calc.!$F$10+(Break_Even_Point_Calc.!$F$17*F284)), "")</f>
        <v>#VALUE!</v>
      </c>
      <c r="H284" s="4" t="e">
        <f>IF(F283&lt;$D$5, ($C$5)*(Break_Even_Point_Calc.!$D$10+(Break_Even_Point_Calc.!$D$17*F284)), "")</f>
        <v>#VALUE!</v>
      </c>
      <c r="I284" s="17" t="e">
        <f t="shared" si="9"/>
        <v>#VALUE!</v>
      </c>
    </row>
    <row r="285" spans="2:9" x14ac:dyDescent="0.3">
      <c r="B285" s="1"/>
      <c r="C285" s="1"/>
      <c r="D285" s="1"/>
      <c r="E285" s="1"/>
      <c r="F285" s="28" t="e">
        <f t="shared" si="8"/>
        <v>#VALUE!</v>
      </c>
      <c r="G285" s="4" t="e">
        <f>IF(F284&lt;$D$5, ($C$5)*(Break_Even_Point_Calc.!$F$10+(Break_Even_Point_Calc.!$F$17*F285)), "")</f>
        <v>#VALUE!</v>
      </c>
      <c r="H285" s="4" t="e">
        <f>IF(F284&lt;$D$5, ($C$5)*(Break_Even_Point_Calc.!$D$10+(Break_Even_Point_Calc.!$D$17*F285)), "")</f>
        <v>#VALUE!</v>
      </c>
      <c r="I285" s="17" t="e">
        <f t="shared" si="9"/>
        <v>#VALUE!</v>
      </c>
    </row>
    <row r="286" spans="2:9" x14ac:dyDescent="0.3">
      <c r="B286" s="1"/>
      <c r="C286" s="1"/>
      <c r="D286" s="1"/>
      <c r="E286" s="1"/>
      <c r="F286" s="28" t="e">
        <f t="shared" si="8"/>
        <v>#VALUE!</v>
      </c>
      <c r="G286" s="4" t="e">
        <f>IF(F285&lt;$D$5, ($C$5)*(Break_Even_Point_Calc.!$F$10+(Break_Even_Point_Calc.!$F$17*F286)), "")</f>
        <v>#VALUE!</v>
      </c>
      <c r="H286" s="4" t="e">
        <f>IF(F285&lt;$D$5, ($C$5)*(Break_Even_Point_Calc.!$D$10+(Break_Even_Point_Calc.!$D$17*F286)), "")</f>
        <v>#VALUE!</v>
      </c>
      <c r="I286" s="17" t="e">
        <f t="shared" si="9"/>
        <v>#VALUE!</v>
      </c>
    </row>
    <row r="287" spans="2:9" x14ac:dyDescent="0.3">
      <c r="B287" s="1"/>
      <c r="C287" s="1"/>
      <c r="D287" s="1"/>
      <c r="E287" s="1"/>
      <c r="F287" s="28" t="e">
        <f t="shared" si="8"/>
        <v>#VALUE!</v>
      </c>
      <c r="G287" s="4" t="e">
        <f>IF(F286&lt;$D$5, ($C$5)*(Break_Even_Point_Calc.!$F$10+(Break_Even_Point_Calc.!$F$17*F287)), "")</f>
        <v>#VALUE!</v>
      </c>
      <c r="H287" s="4" t="e">
        <f>IF(F286&lt;$D$5, ($C$5)*(Break_Even_Point_Calc.!$D$10+(Break_Even_Point_Calc.!$D$17*F287)), "")</f>
        <v>#VALUE!</v>
      </c>
      <c r="I287" s="17" t="e">
        <f t="shared" si="9"/>
        <v>#VALUE!</v>
      </c>
    </row>
    <row r="288" spans="2:9" x14ac:dyDescent="0.3">
      <c r="B288" s="1"/>
      <c r="C288" s="1"/>
      <c r="D288" s="1"/>
      <c r="E288" s="1"/>
      <c r="F288" s="28" t="e">
        <f t="shared" si="8"/>
        <v>#VALUE!</v>
      </c>
      <c r="G288" s="4" t="e">
        <f>IF(F287&lt;$D$5, ($C$5)*(Break_Even_Point_Calc.!$F$10+(Break_Even_Point_Calc.!$F$17*F288)), "")</f>
        <v>#VALUE!</v>
      </c>
      <c r="H288" s="4" t="e">
        <f>IF(F287&lt;$D$5, ($C$5)*(Break_Even_Point_Calc.!$D$10+(Break_Even_Point_Calc.!$D$17*F288)), "")</f>
        <v>#VALUE!</v>
      </c>
      <c r="I288" s="17" t="e">
        <f t="shared" si="9"/>
        <v>#VALUE!</v>
      </c>
    </row>
    <row r="289" spans="2:9" x14ac:dyDescent="0.3">
      <c r="B289" s="1"/>
      <c r="C289" s="1"/>
      <c r="D289" s="1"/>
      <c r="E289" s="1"/>
      <c r="F289" s="28" t="e">
        <f t="shared" si="8"/>
        <v>#VALUE!</v>
      </c>
      <c r="G289" s="4" t="e">
        <f>IF(F288&lt;$D$5, ($C$5)*(Break_Even_Point_Calc.!$F$10+(Break_Even_Point_Calc.!$F$17*F289)), "")</f>
        <v>#VALUE!</v>
      </c>
      <c r="H289" s="4" t="e">
        <f>IF(F288&lt;$D$5, ($C$5)*(Break_Even_Point_Calc.!$D$10+(Break_Even_Point_Calc.!$D$17*F289)), "")</f>
        <v>#VALUE!</v>
      </c>
      <c r="I289" s="17" t="e">
        <f t="shared" si="9"/>
        <v>#VALUE!</v>
      </c>
    </row>
    <row r="290" spans="2:9" x14ac:dyDescent="0.3">
      <c r="B290" s="1"/>
      <c r="C290" s="1"/>
      <c r="D290" s="1"/>
      <c r="E290" s="1"/>
      <c r="F290" s="28" t="e">
        <f t="shared" si="8"/>
        <v>#VALUE!</v>
      </c>
      <c r="G290" s="4" t="e">
        <f>IF(F289&lt;$D$5, ($C$5)*(Break_Even_Point_Calc.!$F$10+(Break_Even_Point_Calc.!$F$17*F290)), "")</f>
        <v>#VALUE!</v>
      </c>
      <c r="H290" s="4" t="e">
        <f>IF(F289&lt;$D$5, ($C$5)*(Break_Even_Point_Calc.!$D$10+(Break_Even_Point_Calc.!$D$17*F290)), "")</f>
        <v>#VALUE!</v>
      </c>
      <c r="I290" s="17" t="e">
        <f t="shared" si="9"/>
        <v>#VALUE!</v>
      </c>
    </row>
    <row r="291" spans="2:9" x14ac:dyDescent="0.3">
      <c r="B291" s="1"/>
      <c r="C291" s="1"/>
      <c r="D291" s="1"/>
      <c r="E291" s="1"/>
      <c r="F291" s="28" t="e">
        <f t="shared" si="8"/>
        <v>#VALUE!</v>
      </c>
      <c r="G291" s="4" t="e">
        <f>IF(F290&lt;$D$5, ($C$5)*(Break_Even_Point_Calc.!$F$10+(Break_Even_Point_Calc.!$F$17*F291)), "")</f>
        <v>#VALUE!</v>
      </c>
      <c r="H291" s="4" t="e">
        <f>IF(F290&lt;$D$5, ($C$5)*(Break_Even_Point_Calc.!$D$10+(Break_Even_Point_Calc.!$D$17*F291)), "")</f>
        <v>#VALUE!</v>
      </c>
      <c r="I291" s="17" t="e">
        <f t="shared" si="9"/>
        <v>#VALUE!</v>
      </c>
    </row>
    <row r="292" spans="2:9" x14ac:dyDescent="0.3">
      <c r="B292" s="1"/>
      <c r="C292" s="1"/>
      <c r="D292" s="1"/>
      <c r="E292" s="1"/>
      <c r="F292" s="28" t="e">
        <f t="shared" si="8"/>
        <v>#VALUE!</v>
      </c>
      <c r="G292" s="4" t="e">
        <f>IF(F291&lt;$D$5, ($C$5)*(Break_Even_Point_Calc.!$F$10+(Break_Even_Point_Calc.!$F$17*F292)), "")</f>
        <v>#VALUE!</v>
      </c>
      <c r="H292" s="4" t="e">
        <f>IF(F291&lt;$D$5, ($C$5)*(Break_Even_Point_Calc.!$D$10+(Break_Even_Point_Calc.!$D$17*F292)), "")</f>
        <v>#VALUE!</v>
      </c>
      <c r="I292" s="17" t="e">
        <f t="shared" si="9"/>
        <v>#VALUE!</v>
      </c>
    </row>
    <row r="293" spans="2:9" x14ac:dyDescent="0.3">
      <c r="B293" s="1"/>
      <c r="C293" s="1"/>
      <c r="D293" s="1"/>
      <c r="E293" s="1"/>
      <c r="F293" s="28" t="e">
        <f t="shared" si="8"/>
        <v>#VALUE!</v>
      </c>
      <c r="G293" s="4" t="e">
        <f>IF(F292&lt;$D$5, ($C$5)*(Break_Even_Point_Calc.!$F$10+(Break_Even_Point_Calc.!$F$17*F293)), "")</f>
        <v>#VALUE!</v>
      </c>
      <c r="H293" s="4" t="e">
        <f>IF(F292&lt;$D$5, ($C$5)*(Break_Even_Point_Calc.!$D$10+(Break_Even_Point_Calc.!$D$17*F293)), "")</f>
        <v>#VALUE!</v>
      </c>
      <c r="I293" s="17" t="e">
        <f t="shared" si="9"/>
        <v>#VALUE!</v>
      </c>
    </row>
    <row r="294" spans="2:9" x14ac:dyDescent="0.3">
      <c r="B294" s="1"/>
      <c r="C294" s="1"/>
      <c r="D294" s="1"/>
      <c r="E294" s="1"/>
      <c r="F294" s="28" t="e">
        <f t="shared" si="8"/>
        <v>#VALUE!</v>
      </c>
      <c r="G294" s="4" t="e">
        <f>IF(F293&lt;$D$5, ($C$5)*(Break_Even_Point_Calc.!$F$10+(Break_Even_Point_Calc.!$F$17*F294)), "")</f>
        <v>#VALUE!</v>
      </c>
      <c r="H294" s="4" t="e">
        <f>IF(F293&lt;$D$5, ($C$5)*(Break_Even_Point_Calc.!$D$10+(Break_Even_Point_Calc.!$D$17*F294)), "")</f>
        <v>#VALUE!</v>
      </c>
      <c r="I294" s="17" t="e">
        <f t="shared" si="9"/>
        <v>#VALUE!</v>
      </c>
    </row>
    <row r="295" spans="2:9" x14ac:dyDescent="0.3">
      <c r="B295" s="1"/>
      <c r="C295" s="1"/>
      <c r="D295" s="1"/>
      <c r="E295" s="1"/>
      <c r="F295" s="28" t="e">
        <f t="shared" si="8"/>
        <v>#VALUE!</v>
      </c>
      <c r="G295" s="4" t="e">
        <f>IF(F294&lt;$D$5, ($C$5)*(Break_Even_Point_Calc.!$F$10+(Break_Even_Point_Calc.!$F$17*F295)), "")</f>
        <v>#VALUE!</v>
      </c>
      <c r="H295" s="4" t="e">
        <f>IF(F294&lt;$D$5, ($C$5)*(Break_Even_Point_Calc.!$D$10+(Break_Even_Point_Calc.!$D$17*F295)), "")</f>
        <v>#VALUE!</v>
      </c>
      <c r="I295" s="17" t="e">
        <f t="shared" si="9"/>
        <v>#VALUE!</v>
      </c>
    </row>
    <row r="296" spans="2:9" x14ac:dyDescent="0.3">
      <c r="B296" s="1"/>
      <c r="C296" s="1"/>
      <c r="D296" s="1"/>
      <c r="E296" s="1"/>
      <c r="F296" s="28" t="e">
        <f t="shared" si="8"/>
        <v>#VALUE!</v>
      </c>
      <c r="G296" s="4" t="e">
        <f>IF(F295&lt;$D$5, ($C$5)*(Break_Even_Point_Calc.!$F$10+(Break_Even_Point_Calc.!$F$17*F296)), "")</f>
        <v>#VALUE!</v>
      </c>
      <c r="H296" s="4" t="e">
        <f>IF(F295&lt;$D$5, ($C$5)*(Break_Even_Point_Calc.!$D$10+(Break_Even_Point_Calc.!$D$17*F296)), "")</f>
        <v>#VALUE!</v>
      </c>
      <c r="I296" s="17" t="e">
        <f t="shared" si="9"/>
        <v>#VALUE!</v>
      </c>
    </row>
    <row r="297" spans="2:9" x14ac:dyDescent="0.3">
      <c r="B297" s="1"/>
      <c r="C297" s="1"/>
      <c r="D297" s="1"/>
      <c r="E297" s="1"/>
      <c r="F297" s="28" t="e">
        <f t="shared" si="8"/>
        <v>#VALUE!</v>
      </c>
      <c r="G297" s="4" t="e">
        <f>IF(F296&lt;$D$5, ($C$5)*(Break_Even_Point_Calc.!$F$10+(Break_Even_Point_Calc.!$F$17*F297)), "")</f>
        <v>#VALUE!</v>
      </c>
      <c r="H297" s="4" t="e">
        <f>IF(F296&lt;$D$5, ($C$5)*(Break_Even_Point_Calc.!$D$10+(Break_Even_Point_Calc.!$D$17*F297)), "")</f>
        <v>#VALUE!</v>
      </c>
      <c r="I297" s="17" t="e">
        <f t="shared" si="9"/>
        <v>#VALUE!</v>
      </c>
    </row>
    <row r="298" spans="2:9" x14ac:dyDescent="0.3">
      <c r="B298" s="1"/>
      <c r="C298" s="1"/>
      <c r="D298" s="1"/>
      <c r="E298" s="1"/>
      <c r="F298" s="28" t="e">
        <f t="shared" si="8"/>
        <v>#VALUE!</v>
      </c>
      <c r="G298" s="4" t="e">
        <f>IF(F297&lt;$D$5, ($C$5)*(Break_Even_Point_Calc.!$F$10+(Break_Even_Point_Calc.!$F$17*F298)), "")</f>
        <v>#VALUE!</v>
      </c>
      <c r="H298" s="4" t="e">
        <f>IF(F297&lt;$D$5, ($C$5)*(Break_Even_Point_Calc.!$D$10+(Break_Even_Point_Calc.!$D$17*F298)), "")</f>
        <v>#VALUE!</v>
      </c>
      <c r="I298" s="17" t="e">
        <f t="shared" si="9"/>
        <v>#VALUE!</v>
      </c>
    </row>
    <row r="299" spans="2:9" x14ac:dyDescent="0.3">
      <c r="B299" s="1"/>
      <c r="C299" s="1"/>
      <c r="D299" s="1"/>
      <c r="E299" s="1"/>
      <c r="F299" s="28" t="e">
        <f t="shared" si="8"/>
        <v>#VALUE!</v>
      </c>
      <c r="G299" s="4" t="e">
        <f>IF(F298&lt;$D$5, ($C$5)*(Break_Even_Point_Calc.!$F$10+(Break_Even_Point_Calc.!$F$17*F299)), "")</f>
        <v>#VALUE!</v>
      </c>
      <c r="H299" s="4" t="e">
        <f>IF(F298&lt;$D$5, ($C$5)*(Break_Even_Point_Calc.!$D$10+(Break_Even_Point_Calc.!$D$17*F299)), "")</f>
        <v>#VALUE!</v>
      </c>
      <c r="I299" s="17" t="e">
        <f t="shared" si="9"/>
        <v>#VALUE!</v>
      </c>
    </row>
    <row r="300" spans="2:9" x14ac:dyDescent="0.3">
      <c r="B300" s="1"/>
      <c r="C300" s="1"/>
      <c r="D300" s="1"/>
      <c r="E300" s="1"/>
      <c r="F300" s="28" t="e">
        <f t="shared" si="8"/>
        <v>#VALUE!</v>
      </c>
      <c r="G300" s="4" t="e">
        <f>IF(F299&lt;$D$5, ($C$5)*(Break_Even_Point_Calc.!$F$10+(Break_Even_Point_Calc.!$F$17*F300)), "")</f>
        <v>#VALUE!</v>
      </c>
      <c r="H300" s="4" t="e">
        <f>IF(F299&lt;$D$5, ($C$5)*(Break_Even_Point_Calc.!$D$10+(Break_Even_Point_Calc.!$D$17*F300)), "")</f>
        <v>#VALUE!</v>
      </c>
      <c r="I300" s="17" t="e">
        <f t="shared" si="9"/>
        <v>#VALUE!</v>
      </c>
    </row>
    <row r="301" spans="2:9" x14ac:dyDescent="0.3">
      <c r="B301" s="1"/>
      <c r="C301" s="1"/>
      <c r="D301" s="1"/>
      <c r="E301" s="1"/>
      <c r="F301" s="28" t="e">
        <f t="shared" si="8"/>
        <v>#VALUE!</v>
      </c>
      <c r="G301" s="4" t="e">
        <f>IF(F300&lt;$D$5, ($C$5)*(Break_Even_Point_Calc.!$F$10+(Break_Even_Point_Calc.!$F$17*F301)), "")</f>
        <v>#VALUE!</v>
      </c>
      <c r="H301" s="4" t="e">
        <f>IF(F300&lt;$D$5, ($C$5)*(Break_Even_Point_Calc.!$D$10+(Break_Even_Point_Calc.!$D$17*F301)), "")</f>
        <v>#VALUE!</v>
      </c>
      <c r="I301" s="17" t="e">
        <f t="shared" si="9"/>
        <v>#VALUE!</v>
      </c>
    </row>
    <row r="302" spans="2:9" x14ac:dyDescent="0.3">
      <c r="B302" s="1"/>
      <c r="C302" s="1"/>
      <c r="D302" s="1"/>
      <c r="E302" s="1"/>
      <c r="F302" s="28" t="e">
        <f t="shared" si="8"/>
        <v>#VALUE!</v>
      </c>
      <c r="G302" s="4" t="e">
        <f>IF(F301&lt;$D$5, ($C$5)*(Break_Even_Point_Calc.!$F$10+(Break_Even_Point_Calc.!$F$17*F302)), "")</f>
        <v>#VALUE!</v>
      </c>
      <c r="H302" s="4" t="e">
        <f>IF(F301&lt;$D$5, ($C$5)*(Break_Even_Point_Calc.!$D$10+(Break_Even_Point_Calc.!$D$17*F302)), "")</f>
        <v>#VALUE!</v>
      </c>
      <c r="I302" s="17" t="e">
        <f t="shared" si="9"/>
        <v>#VALUE!</v>
      </c>
    </row>
    <row r="303" spans="2:9" x14ac:dyDescent="0.3">
      <c r="B303" s="1"/>
      <c r="C303" s="1"/>
      <c r="D303" s="1"/>
      <c r="E303" s="1"/>
      <c r="F303" s="28" t="e">
        <f t="shared" si="8"/>
        <v>#VALUE!</v>
      </c>
      <c r="G303" s="4" t="e">
        <f>IF(F302&lt;$D$5, ($C$5)*(Break_Even_Point_Calc.!$F$10+(Break_Even_Point_Calc.!$F$17*F303)), "")</f>
        <v>#VALUE!</v>
      </c>
      <c r="H303" s="4" t="e">
        <f>IF(F302&lt;$D$5, ($C$5)*(Break_Even_Point_Calc.!$D$10+(Break_Even_Point_Calc.!$D$17*F303)), "")</f>
        <v>#VALUE!</v>
      </c>
      <c r="I303" s="17" t="e">
        <f t="shared" si="9"/>
        <v>#VALUE!</v>
      </c>
    </row>
    <row r="304" spans="2:9" x14ac:dyDescent="0.3">
      <c r="B304" s="1"/>
      <c r="C304" s="1"/>
      <c r="D304" s="1"/>
      <c r="E304" s="1"/>
      <c r="F304" s="28" t="e">
        <f t="shared" si="8"/>
        <v>#VALUE!</v>
      </c>
      <c r="G304" s="4" t="e">
        <f>IF(F303&lt;$D$5, ($C$5)*(Break_Even_Point_Calc.!$F$10+(Break_Even_Point_Calc.!$F$17*F304)), "")</f>
        <v>#VALUE!</v>
      </c>
      <c r="H304" s="4" t="e">
        <f>IF(F303&lt;$D$5, ($C$5)*(Break_Even_Point_Calc.!$D$10+(Break_Even_Point_Calc.!$D$17*F304)), "")</f>
        <v>#VALUE!</v>
      </c>
      <c r="I304" s="17" t="e">
        <f t="shared" si="9"/>
        <v>#VALUE!</v>
      </c>
    </row>
    <row r="305" spans="2:9" x14ac:dyDescent="0.3">
      <c r="B305" s="1"/>
      <c r="C305" s="1"/>
      <c r="D305" s="1"/>
      <c r="E305" s="1"/>
      <c r="F305" s="28" t="e">
        <f t="shared" si="8"/>
        <v>#VALUE!</v>
      </c>
      <c r="G305" s="4" t="e">
        <f>IF(F304&lt;$D$5, ($C$5)*(Break_Even_Point_Calc.!$F$10+(Break_Even_Point_Calc.!$F$17*F305)), "")</f>
        <v>#VALUE!</v>
      </c>
      <c r="H305" s="4" t="e">
        <f>IF(F304&lt;$D$5, ($C$5)*(Break_Even_Point_Calc.!$D$10+(Break_Even_Point_Calc.!$D$17*F305)), "")</f>
        <v>#VALUE!</v>
      </c>
      <c r="I305" s="17" t="e">
        <f t="shared" si="9"/>
        <v>#VALUE!</v>
      </c>
    </row>
    <row r="306" spans="2:9" x14ac:dyDescent="0.3">
      <c r="B306" s="1"/>
      <c r="C306" s="1"/>
      <c r="D306" s="1"/>
      <c r="E306" s="1"/>
      <c r="F306" s="28" t="e">
        <f t="shared" si="8"/>
        <v>#VALUE!</v>
      </c>
      <c r="G306" s="4" t="e">
        <f>IF(F305&lt;$D$5, ($C$5)*(Break_Even_Point_Calc.!$F$10+(Break_Even_Point_Calc.!$F$17*F306)), "")</f>
        <v>#VALUE!</v>
      </c>
      <c r="H306" s="4" t="e">
        <f>IF(F305&lt;$D$5, ($C$5)*(Break_Even_Point_Calc.!$D$10+(Break_Even_Point_Calc.!$D$17*F306)), "")</f>
        <v>#VALUE!</v>
      </c>
      <c r="I306" s="17" t="e">
        <f t="shared" si="9"/>
        <v>#VALUE!</v>
      </c>
    </row>
    <row r="307" spans="2:9" x14ac:dyDescent="0.3">
      <c r="B307" s="1"/>
      <c r="C307" s="1"/>
      <c r="D307" s="1"/>
      <c r="E307" s="1"/>
      <c r="F307" s="28" t="e">
        <f t="shared" si="8"/>
        <v>#VALUE!</v>
      </c>
      <c r="G307" s="4" t="e">
        <f>IF(F306&lt;$D$5, ($C$5)*(Break_Even_Point_Calc.!$F$10+(Break_Even_Point_Calc.!$F$17*F307)), "")</f>
        <v>#VALUE!</v>
      </c>
      <c r="H307" s="4" t="e">
        <f>IF(F306&lt;$D$5, ($C$5)*(Break_Even_Point_Calc.!$D$10+(Break_Even_Point_Calc.!$D$17*F307)), "")</f>
        <v>#VALUE!</v>
      </c>
      <c r="I307" s="17" t="e">
        <f t="shared" si="9"/>
        <v>#VALUE!</v>
      </c>
    </row>
    <row r="308" spans="2:9" x14ac:dyDescent="0.3">
      <c r="B308" s="1"/>
      <c r="C308" s="1"/>
      <c r="D308" s="1"/>
      <c r="E308" s="1"/>
      <c r="F308" s="28" t="e">
        <f t="shared" si="8"/>
        <v>#VALUE!</v>
      </c>
      <c r="G308" s="4" t="e">
        <f>IF(F307&lt;$D$5, ($C$5)*(Break_Even_Point_Calc.!$F$10+(Break_Even_Point_Calc.!$F$17*F308)), "")</f>
        <v>#VALUE!</v>
      </c>
      <c r="H308" s="4" t="e">
        <f>IF(F307&lt;$D$5, ($C$5)*(Break_Even_Point_Calc.!$D$10+(Break_Even_Point_Calc.!$D$17*F308)), "")</f>
        <v>#VALUE!</v>
      </c>
      <c r="I308" s="17" t="e">
        <f t="shared" si="9"/>
        <v>#VALUE!</v>
      </c>
    </row>
    <row r="309" spans="2:9" x14ac:dyDescent="0.3">
      <c r="B309" s="1"/>
      <c r="C309" s="1"/>
      <c r="D309" s="1"/>
      <c r="E309" s="1"/>
      <c r="F309" s="28" t="e">
        <f t="shared" si="8"/>
        <v>#VALUE!</v>
      </c>
      <c r="G309" s="4" t="e">
        <f>IF(F308&lt;$D$5, ($C$5)*(Break_Even_Point_Calc.!$F$10+(Break_Even_Point_Calc.!$F$17*F309)), "")</f>
        <v>#VALUE!</v>
      </c>
      <c r="H309" s="4" t="e">
        <f>IF(F308&lt;$D$5, ($C$5)*(Break_Even_Point_Calc.!$D$10+(Break_Even_Point_Calc.!$D$17*F309)), "")</f>
        <v>#VALUE!</v>
      </c>
      <c r="I309" s="17" t="e">
        <f t="shared" si="9"/>
        <v>#VALUE!</v>
      </c>
    </row>
    <row r="310" spans="2:9" x14ac:dyDescent="0.3">
      <c r="B310" s="1"/>
      <c r="C310" s="1"/>
      <c r="D310" s="1"/>
      <c r="E310" s="1"/>
      <c r="F310" s="28" t="e">
        <f t="shared" si="8"/>
        <v>#VALUE!</v>
      </c>
      <c r="G310" s="4" t="e">
        <f>IF(F309&lt;$D$5, ($C$5)*(Break_Even_Point_Calc.!$F$10+(Break_Even_Point_Calc.!$F$17*F310)), "")</f>
        <v>#VALUE!</v>
      </c>
      <c r="H310" s="4" t="e">
        <f>IF(F309&lt;$D$5, ($C$5)*(Break_Even_Point_Calc.!$D$10+(Break_Even_Point_Calc.!$D$17*F310)), "")</f>
        <v>#VALUE!</v>
      </c>
      <c r="I310" s="17" t="e">
        <f t="shared" si="9"/>
        <v>#VALUE!</v>
      </c>
    </row>
    <row r="311" spans="2:9" x14ac:dyDescent="0.3">
      <c r="B311" s="1"/>
      <c r="C311" s="1"/>
      <c r="D311" s="1"/>
      <c r="E311" s="1"/>
      <c r="F311" s="28" t="e">
        <f t="shared" si="8"/>
        <v>#VALUE!</v>
      </c>
      <c r="G311" s="4" t="e">
        <f>IF(F310&lt;$D$5, ($C$5)*(Break_Even_Point_Calc.!$F$10+(Break_Even_Point_Calc.!$F$17*F311)), "")</f>
        <v>#VALUE!</v>
      </c>
      <c r="H311" s="4" t="e">
        <f>IF(F310&lt;$D$5, ($C$5)*(Break_Even_Point_Calc.!$D$10+(Break_Even_Point_Calc.!$D$17*F311)), "")</f>
        <v>#VALUE!</v>
      </c>
      <c r="I311" s="17" t="e">
        <f t="shared" si="9"/>
        <v>#VALUE!</v>
      </c>
    </row>
    <row r="312" spans="2:9" x14ac:dyDescent="0.3">
      <c r="B312" s="1"/>
      <c r="C312" s="1"/>
      <c r="D312" s="1"/>
      <c r="E312" s="1"/>
      <c r="F312" s="28" t="e">
        <f t="shared" si="8"/>
        <v>#VALUE!</v>
      </c>
      <c r="G312" s="4" t="e">
        <f>IF(F311&lt;$D$5, ($C$5)*(Break_Even_Point_Calc.!$F$10+(Break_Even_Point_Calc.!$F$17*F312)), "")</f>
        <v>#VALUE!</v>
      </c>
      <c r="H312" s="4" t="e">
        <f>IF(F311&lt;$D$5, ($C$5)*(Break_Even_Point_Calc.!$D$10+(Break_Even_Point_Calc.!$D$17*F312)), "")</f>
        <v>#VALUE!</v>
      </c>
      <c r="I312" s="17" t="e">
        <f t="shared" si="9"/>
        <v>#VALUE!</v>
      </c>
    </row>
    <row r="313" spans="2:9" x14ac:dyDescent="0.3">
      <c r="B313" s="1"/>
      <c r="C313" s="1"/>
      <c r="D313" s="1"/>
      <c r="E313" s="1"/>
      <c r="F313" s="28" t="e">
        <f t="shared" si="8"/>
        <v>#VALUE!</v>
      </c>
      <c r="G313" s="4" t="e">
        <f>IF(F312&lt;$D$5, ($C$5)*(Break_Even_Point_Calc.!$F$10+(Break_Even_Point_Calc.!$F$17*F313)), "")</f>
        <v>#VALUE!</v>
      </c>
      <c r="H313" s="4" t="e">
        <f>IF(F312&lt;$D$5, ($C$5)*(Break_Even_Point_Calc.!$D$10+(Break_Even_Point_Calc.!$D$17*F313)), "")</f>
        <v>#VALUE!</v>
      </c>
      <c r="I313" s="17" t="e">
        <f t="shared" si="9"/>
        <v>#VALUE!</v>
      </c>
    </row>
    <row r="314" spans="2:9" x14ac:dyDescent="0.3">
      <c r="B314" s="1"/>
      <c r="C314" s="1"/>
      <c r="D314" s="1"/>
      <c r="E314" s="1"/>
      <c r="F314" s="28" t="e">
        <f t="shared" si="8"/>
        <v>#VALUE!</v>
      </c>
      <c r="G314" s="4" t="e">
        <f>IF(F313&lt;$D$5, ($C$5)*(Break_Even_Point_Calc.!$F$10+(Break_Even_Point_Calc.!$F$17*F314)), "")</f>
        <v>#VALUE!</v>
      </c>
      <c r="H314" s="4" t="e">
        <f>IF(F313&lt;$D$5, ($C$5)*(Break_Even_Point_Calc.!$D$10+(Break_Even_Point_Calc.!$D$17*F314)), "")</f>
        <v>#VALUE!</v>
      </c>
      <c r="I314" s="17" t="e">
        <f t="shared" si="9"/>
        <v>#VALUE!</v>
      </c>
    </row>
    <row r="315" spans="2:9" x14ac:dyDescent="0.3">
      <c r="B315" s="1"/>
      <c r="C315" s="1"/>
      <c r="D315" s="1"/>
      <c r="E315" s="1"/>
      <c r="F315" s="28" t="e">
        <f t="shared" si="8"/>
        <v>#VALUE!</v>
      </c>
      <c r="G315" s="4" t="e">
        <f>IF(F314&lt;$D$5, ($C$5)*(Break_Even_Point_Calc.!$F$10+(Break_Even_Point_Calc.!$F$17*F315)), "")</f>
        <v>#VALUE!</v>
      </c>
      <c r="H315" s="4" t="e">
        <f>IF(F314&lt;$D$5, ($C$5)*(Break_Even_Point_Calc.!$D$10+(Break_Even_Point_Calc.!$D$17*F315)), "")</f>
        <v>#VALUE!</v>
      </c>
      <c r="I315" s="17" t="e">
        <f t="shared" si="9"/>
        <v>#VALUE!</v>
      </c>
    </row>
    <row r="316" spans="2:9" x14ac:dyDescent="0.3">
      <c r="B316" s="1"/>
      <c r="C316" s="1"/>
      <c r="D316" s="1"/>
      <c r="E316" s="1"/>
      <c r="F316" s="28" t="e">
        <f t="shared" si="8"/>
        <v>#VALUE!</v>
      </c>
      <c r="G316" s="4" t="e">
        <f>IF(F315&lt;$D$5, ($C$5)*(Break_Even_Point_Calc.!$F$10+(Break_Even_Point_Calc.!$F$17*F316)), "")</f>
        <v>#VALUE!</v>
      </c>
      <c r="H316" s="4" t="e">
        <f>IF(F315&lt;$D$5, ($C$5)*(Break_Even_Point_Calc.!$D$10+(Break_Even_Point_Calc.!$D$17*F316)), "")</f>
        <v>#VALUE!</v>
      </c>
      <c r="I316" s="17" t="e">
        <f t="shared" si="9"/>
        <v>#VALUE!</v>
      </c>
    </row>
    <row r="317" spans="2:9" x14ac:dyDescent="0.3">
      <c r="B317" s="1"/>
      <c r="C317" s="1"/>
      <c r="D317" s="1"/>
      <c r="E317" s="1"/>
      <c r="F317" s="28" t="e">
        <f t="shared" si="8"/>
        <v>#VALUE!</v>
      </c>
      <c r="G317" s="4" t="e">
        <f>IF(F316&lt;$D$5, ($C$5)*(Break_Even_Point_Calc.!$F$10+(Break_Even_Point_Calc.!$F$17*F317)), "")</f>
        <v>#VALUE!</v>
      </c>
      <c r="H317" s="4" t="e">
        <f>IF(F316&lt;$D$5, ($C$5)*(Break_Even_Point_Calc.!$D$10+(Break_Even_Point_Calc.!$D$17*F317)), "")</f>
        <v>#VALUE!</v>
      </c>
      <c r="I317" s="17" t="e">
        <f t="shared" si="9"/>
        <v>#VALUE!</v>
      </c>
    </row>
    <row r="318" spans="2:9" x14ac:dyDescent="0.3">
      <c r="B318" s="1"/>
      <c r="C318" s="1"/>
      <c r="D318" s="1"/>
      <c r="E318" s="1"/>
      <c r="F318" s="28" t="e">
        <f t="shared" si="8"/>
        <v>#VALUE!</v>
      </c>
      <c r="G318" s="4" t="e">
        <f>IF(F317&lt;$D$5, ($C$5)*(Break_Even_Point_Calc.!$F$10+(Break_Even_Point_Calc.!$F$17*F318)), "")</f>
        <v>#VALUE!</v>
      </c>
      <c r="H318" s="4" t="e">
        <f>IF(F317&lt;$D$5, ($C$5)*(Break_Even_Point_Calc.!$D$10+(Break_Even_Point_Calc.!$D$17*F318)), "")</f>
        <v>#VALUE!</v>
      </c>
      <c r="I318" s="17" t="e">
        <f t="shared" si="9"/>
        <v>#VALUE!</v>
      </c>
    </row>
    <row r="319" spans="2:9" x14ac:dyDescent="0.3">
      <c r="B319" s="1"/>
      <c r="C319" s="1"/>
      <c r="D319" s="1"/>
      <c r="E319" s="1"/>
      <c r="F319" s="28" t="e">
        <f t="shared" si="8"/>
        <v>#VALUE!</v>
      </c>
      <c r="G319" s="4" t="e">
        <f>IF(F318&lt;$D$5, ($C$5)*(Break_Even_Point_Calc.!$F$10+(Break_Even_Point_Calc.!$F$17*F319)), "")</f>
        <v>#VALUE!</v>
      </c>
      <c r="H319" s="4" t="e">
        <f>IF(F318&lt;$D$5, ($C$5)*(Break_Even_Point_Calc.!$D$10+(Break_Even_Point_Calc.!$D$17*F319)), "")</f>
        <v>#VALUE!</v>
      </c>
      <c r="I319" s="17" t="e">
        <f t="shared" si="9"/>
        <v>#VALUE!</v>
      </c>
    </row>
    <row r="320" spans="2:9" x14ac:dyDescent="0.3">
      <c r="B320" s="1"/>
      <c r="C320" s="1"/>
      <c r="D320" s="1"/>
      <c r="E320" s="1"/>
      <c r="F320" s="28" t="e">
        <f t="shared" si="8"/>
        <v>#VALUE!</v>
      </c>
      <c r="G320" s="4" t="e">
        <f>IF(F319&lt;$D$5, ($C$5)*(Break_Even_Point_Calc.!$F$10+(Break_Even_Point_Calc.!$F$17*F320)), "")</f>
        <v>#VALUE!</v>
      </c>
      <c r="H320" s="4" t="e">
        <f>IF(F319&lt;$D$5, ($C$5)*(Break_Even_Point_Calc.!$D$10+(Break_Even_Point_Calc.!$D$17*F320)), "")</f>
        <v>#VALUE!</v>
      </c>
      <c r="I320" s="17" t="e">
        <f t="shared" si="9"/>
        <v>#VALUE!</v>
      </c>
    </row>
    <row r="321" spans="2:9" x14ac:dyDescent="0.3">
      <c r="B321" s="1"/>
      <c r="C321" s="1"/>
      <c r="D321" s="1"/>
      <c r="E321" s="1"/>
      <c r="F321" s="28" t="e">
        <f t="shared" si="8"/>
        <v>#VALUE!</v>
      </c>
      <c r="G321" s="4" t="e">
        <f>IF(F320&lt;$D$5, ($C$5)*(Break_Even_Point_Calc.!$F$10+(Break_Even_Point_Calc.!$F$17*F321)), "")</f>
        <v>#VALUE!</v>
      </c>
      <c r="H321" s="4" t="e">
        <f>IF(F320&lt;$D$5, ($C$5)*(Break_Even_Point_Calc.!$D$10+(Break_Even_Point_Calc.!$D$17*F321)), "")</f>
        <v>#VALUE!</v>
      </c>
      <c r="I321" s="17" t="e">
        <f t="shared" si="9"/>
        <v>#VALUE!</v>
      </c>
    </row>
    <row r="322" spans="2:9" x14ac:dyDescent="0.3">
      <c r="B322" s="1"/>
      <c r="C322" s="1"/>
      <c r="D322" s="1"/>
      <c r="E322" s="1"/>
      <c r="F322" s="28" t="e">
        <f t="shared" si="8"/>
        <v>#VALUE!</v>
      </c>
      <c r="G322" s="4" t="e">
        <f>IF(F321&lt;$D$5, ($C$5)*(Break_Even_Point_Calc.!$F$10+(Break_Even_Point_Calc.!$F$17*F322)), "")</f>
        <v>#VALUE!</v>
      </c>
      <c r="H322" s="4" t="e">
        <f>IF(F321&lt;$D$5, ($C$5)*(Break_Even_Point_Calc.!$D$10+(Break_Even_Point_Calc.!$D$17*F322)), "")</f>
        <v>#VALUE!</v>
      </c>
      <c r="I322" s="17" t="e">
        <f t="shared" si="9"/>
        <v>#VALUE!</v>
      </c>
    </row>
    <row r="323" spans="2:9" x14ac:dyDescent="0.3">
      <c r="B323" s="1"/>
      <c r="C323" s="1"/>
      <c r="D323" s="1"/>
      <c r="E323" s="1"/>
      <c r="F323" s="28" t="e">
        <f t="shared" si="8"/>
        <v>#VALUE!</v>
      </c>
      <c r="G323" s="4" t="e">
        <f>IF(F322&lt;$D$5, ($C$5)*(Break_Even_Point_Calc.!$F$10+(Break_Even_Point_Calc.!$F$17*F323)), "")</f>
        <v>#VALUE!</v>
      </c>
      <c r="H323" s="4" t="e">
        <f>IF(F322&lt;$D$5, ($C$5)*(Break_Even_Point_Calc.!$D$10+(Break_Even_Point_Calc.!$D$17*F323)), "")</f>
        <v>#VALUE!</v>
      </c>
      <c r="I323" s="17" t="e">
        <f t="shared" si="9"/>
        <v>#VALUE!</v>
      </c>
    </row>
    <row r="324" spans="2:9" x14ac:dyDescent="0.3">
      <c r="B324" s="1"/>
      <c r="C324" s="1"/>
      <c r="D324" s="1"/>
      <c r="E324" s="1"/>
      <c r="F324" s="28" t="e">
        <f t="shared" si="8"/>
        <v>#VALUE!</v>
      </c>
      <c r="G324" s="4" t="e">
        <f>IF(F323&lt;$D$5, ($C$5)*(Break_Even_Point_Calc.!$F$10+(Break_Even_Point_Calc.!$F$17*F324)), "")</f>
        <v>#VALUE!</v>
      </c>
      <c r="H324" s="4" t="e">
        <f>IF(F323&lt;$D$5, ($C$5)*(Break_Even_Point_Calc.!$D$10+(Break_Even_Point_Calc.!$D$17*F324)), "")</f>
        <v>#VALUE!</v>
      </c>
      <c r="I324" s="17" t="e">
        <f t="shared" si="9"/>
        <v>#VALUE!</v>
      </c>
    </row>
    <row r="325" spans="2:9" x14ac:dyDescent="0.3">
      <c r="B325" s="1"/>
      <c r="C325" s="1"/>
      <c r="D325" s="1"/>
      <c r="E325" s="1"/>
      <c r="F325" s="28" t="e">
        <f t="shared" si="8"/>
        <v>#VALUE!</v>
      </c>
      <c r="G325" s="4" t="e">
        <f>IF(F324&lt;$D$5, ($C$5)*(Break_Even_Point_Calc.!$F$10+(Break_Even_Point_Calc.!$F$17*F325)), "")</f>
        <v>#VALUE!</v>
      </c>
      <c r="H325" s="4" t="e">
        <f>IF(F324&lt;$D$5, ($C$5)*(Break_Even_Point_Calc.!$D$10+(Break_Even_Point_Calc.!$D$17*F325)), "")</f>
        <v>#VALUE!</v>
      </c>
      <c r="I325" s="17" t="e">
        <f t="shared" si="9"/>
        <v>#VALUE!</v>
      </c>
    </row>
    <row r="326" spans="2:9" x14ac:dyDescent="0.3">
      <c r="B326" s="1"/>
      <c r="C326" s="1"/>
      <c r="D326" s="1"/>
      <c r="E326" s="1"/>
      <c r="F326" s="28" t="e">
        <f t="shared" si="8"/>
        <v>#VALUE!</v>
      </c>
      <c r="G326" s="4" t="e">
        <f>IF(F325&lt;$D$5, ($C$5)*(Break_Even_Point_Calc.!$F$10+(Break_Even_Point_Calc.!$F$17*F326)), "")</f>
        <v>#VALUE!</v>
      </c>
      <c r="H326" s="4" t="e">
        <f>IF(F325&lt;$D$5, ($C$5)*(Break_Even_Point_Calc.!$D$10+(Break_Even_Point_Calc.!$D$17*F326)), "")</f>
        <v>#VALUE!</v>
      </c>
      <c r="I326" s="17" t="e">
        <f t="shared" si="9"/>
        <v>#VALUE!</v>
      </c>
    </row>
    <row r="327" spans="2:9" x14ac:dyDescent="0.3">
      <c r="B327" s="1"/>
      <c r="C327" s="1"/>
      <c r="D327" s="1"/>
      <c r="E327" s="1"/>
      <c r="F327" s="28" t="e">
        <f t="shared" ref="F327" si="10">IF(F326=$D$5,"",F326+1)</f>
        <v>#VALUE!</v>
      </c>
      <c r="G327" s="4" t="e">
        <f>IF(F326&lt;$D$5, ($C$5)*(Break_Even_Point_Calc.!$F$10+(Break_Even_Point_Calc.!$F$17*F327)), "")</f>
        <v>#VALUE!</v>
      </c>
      <c r="H327" s="4" t="e">
        <f>IF(F326&lt;$D$5, ($C$5)*(Break_Even_Point_Calc.!$D$10+(Break_Even_Point_Calc.!$D$17*F327)), "")</f>
        <v>#VALUE!</v>
      </c>
      <c r="I327" s="17" t="e">
        <f t="shared" ref="I327" si="11">IF(AND(G327-H327&lt;0,G326-H326&gt;0), TEXT(G327-H327,"0.00") &amp; " Breakeven Point", G327-H327)</f>
        <v>#VALUE!</v>
      </c>
    </row>
  </sheetData>
  <mergeCells count="1">
    <mergeCell ref="B3:E3"/>
  </mergeCells>
  <conditionalFormatting sqref="G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{3B82F7D3-67E1-4009-8A4D-3BAA8915CB72}</x14:id>
        </ext>
      </extLst>
    </cfRule>
    <cfRule type="cellIs" dxfId="2" priority="4" operator="greaterThan">
      <formula>"Zero"</formula>
    </cfRule>
    <cfRule type="cellIs" dxfId="1" priority="5" operator="greaterThan">
      <formula>0</formula>
    </cfRule>
  </conditionalFormatting>
  <conditionalFormatting sqref="I1: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{EA095DD9-69AF-4D23-B74F-3D9E2355FDD6}</x14:id>
        </ext>
      </extLst>
    </cfRule>
  </conditionalFormatting>
  <conditionalFormatting sqref="I69">
    <cfRule type="containsText" dxfId="0" priority="6" operator="containsText" text="Breakeven Point">
      <formula>NOT(ISERROR(SEARCH("Breakeven Point",I69)))</formula>
    </cfRule>
  </conditionalFormatting>
  <pageMargins left="0.7" right="0.7" top="0.75" bottom="0.75" header="0.3" footer="0.3"/>
  <pageSetup paperSize="9" scale="8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82F7D3-67E1-4009-8A4D-3BAA8915C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EA095DD9-69AF-4D23-B74F-3D9E2355F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Break_Even_Point_Calc.</vt:lpstr>
      <vt:lpstr>BP_Graph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Ardalan Abdulmajid (student)</dc:creator>
  <cp:keywords/>
  <dc:description/>
  <cp:lastModifiedBy>Ardalan Abdulmajid</cp:lastModifiedBy>
  <cp:revision/>
  <dcterms:created xsi:type="dcterms:W3CDTF">2015-06-05T18:17:20Z</dcterms:created>
  <dcterms:modified xsi:type="dcterms:W3CDTF">2026-03-31T21:44:51Z</dcterms:modified>
  <cp:category/>
  <cp:contentStatus/>
</cp:coreProperties>
</file>